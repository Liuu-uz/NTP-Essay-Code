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edina\Dropbox\bdudas\metalcoord\manuscript\"/>
    </mc:Choice>
  </mc:AlternateContent>
  <xr:revisionPtr revIDLastSave="0" documentId="13_ncr:1_{37772594-9870-4F6D-A9FA-51F7A7801050}" xr6:coauthVersionLast="47" xr6:coauthVersionMax="47" xr10:uidLastSave="{00000000-0000-0000-0000-000000000000}"/>
  <bookViews>
    <workbookView xWindow="-80" yWindow="-80" windowWidth="19360" windowHeight="10240" xr2:uid="{CF99AE47-A968-4859-98D5-6E48F67BA298}"/>
  </bookViews>
  <sheets>
    <sheet name="aggregated_results" sheetId="1" r:id="rId1"/>
    <sheet name="representatives_list" sheetId="2" r:id="rId2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" i="1" l="1"/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2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2" i="1"/>
  <c r="J3" i="1"/>
  <c r="I3" i="1" s="1"/>
  <c r="J4" i="1"/>
  <c r="I4" i="1" s="1"/>
  <c r="J5" i="1"/>
  <c r="I5" i="1" s="1"/>
  <c r="J6" i="1"/>
  <c r="I6" i="1" s="1"/>
  <c r="J7" i="1"/>
  <c r="I7" i="1" s="1"/>
  <c r="J8" i="1"/>
  <c r="J9" i="1"/>
  <c r="I9" i="1" s="1"/>
  <c r="J10" i="1"/>
  <c r="J11" i="1"/>
  <c r="I11" i="1" s="1"/>
  <c r="J12" i="1"/>
  <c r="I12" i="1" s="1"/>
  <c r="J13" i="1"/>
  <c r="I13" i="1" s="1"/>
  <c r="J14" i="1"/>
  <c r="I14" i="1" s="1"/>
  <c r="J15" i="1"/>
  <c r="I15" i="1" s="1"/>
  <c r="J16" i="1"/>
  <c r="J17" i="1"/>
  <c r="I17" i="1" s="1"/>
  <c r="J18" i="1"/>
  <c r="J19" i="1"/>
  <c r="I19" i="1" s="1"/>
  <c r="J20" i="1"/>
  <c r="I20" i="1" s="1"/>
  <c r="J21" i="1"/>
  <c r="I21" i="1" s="1"/>
  <c r="J22" i="1"/>
  <c r="I22" i="1" s="1"/>
  <c r="J23" i="1"/>
  <c r="I23" i="1" s="1"/>
  <c r="J24" i="1"/>
  <c r="J25" i="1"/>
  <c r="I25" i="1" s="1"/>
  <c r="J26" i="1"/>
  <c r="J27" i="1"/>
  <c r="I27" i="1" s="1"/>
  <c r="J28" i="1"/>
  <c r="I28" i="1" s="1"/>
  <c r="J29" i="1"/>
  <c r="I29" i="1" s="1"/>
  <c r="J30" i="1"/>
  <c r="I30" i="1" s="1"/>
  <c r="J31" i="1"/>
  <c r="I31" i="1" s="1"/>
  <c r="J32" i="1"/>
  <c r="J33" i="1"/>
  <c r="I33" i="1" s="1"/>
  <c r="J34" i="1"/>
  <c r="J35" i="1"/>
  <c r="I35" i="1" s="1"/>
  <c r="J36" i="1"/>
  <c r="I36" i="1" s="1"/>
  <c r="J37" i="1"/>
  <c r="I37" i="1" s="1"/>
  <c r="J38" i="1"/>
  <c r="I38" i="1" s="1"/>
  <c r="J39" i="1"/>
  <c r="I39" i="1" s="1"/>
  <c r="J40" i="1"/>
  <c r="J41" i="1"/>
  <c r="I41" i="1" s="1"/>
  <c r="J42" i="1"/>
  <c r="J43" i="1"/>
  <c r="I43" i="1" s="1"/>
  <c r="J44" i="1"/>
  <c r="I44" i="1" s="1"/>
  <c r="J45" i="1"/>
  <c r="I45" i="1" s="1"/>
  <c r="J46" i="1"/>
  <c r="I46" i="1" s="1"/>
  <c r="J47" i="1"/>
  <c r="I47" i="1" s="1"/>
  <c r="J48" i="1"/>
  <c r="J49" i="1"/>
  <c r="I49" i="1" s="1"/>
  <c r="J50" i="1"/>
  <c r="J51" i="1"/>
  <c r="I51" i="1" s="1"/>
  <c r="J52" i="1"/>
  <c r="I52" i="1" s="1"/>
  <c r="J53" i="1"/>
  <c r="I53" i="1" s="1"/>
  <c r="J54" i="1"/>
  <c r="I54" i="1" s="1"/>
  <c r="J55" i="1"/>
  <c r="I55" i="1" s="1"/>
  <c r="J56" i="1"/>
  <c r="J57" i="1"/>
  <c r="I57" i="1" s="1"/>
  <c r="J58" i="1"/>
  <c r="J59" i="1"/>
  <c r="I59" i="1" s="1"/>
  <c r="J60" i="1"/>
  <c r="I60" i="1" s="1"/>
  <c r="J61" i="1"/>
  <c r="I61" i="1" s="1"/>
  <c r="J62" i="1"/>
  <c r="I62" i="1" s="1"/>
  <c r="J63" i="1"/>
  <c r="I63" i="1" s="1"/>
  <c r="J64" i="1"/>
  <c r="J65" i="1"/>
  <c r="I65" i="1" s="1"/>
  <c r="J66" i="1"/>
  <c r="J67" i="1"/>
  <c r="I67" i="1" s="1"/>
  <c r="J68" i="1"/>
  <c r="I68" i="1" s="1"/>
  <c r="J69" i="1"/>
  <c r="I69" i="1" s="1"/>
  <c r="J70" i="1"/>
  <c r="I70" i="1" s="1"/>
  <c r="J71" i="1"/>
  <c r="I71" i="1" s="1"/>
  <c r="J72" i="1"/>
  <c r="J73" i="1"/>
  <c r="I73" i="1" s="1"/>
  <c r="J74" i="1"/>
  <c r="J75" i="1"/>
  <c r="I75" i="1" s="1"/>
  <c r="J76" i="1"/>
  <c r="I76" i="1" s="1"/>
  <c r="J77" i="1"/>
  <c r="I77" i="1" s="1"/>
  <c r="J78" i="1"/>
  <c r="I78" i="1" s="1"/>
  <c r="J79" i="1"/>
  <c r="I79" i="1" s="1"/>
  <c r="J80" i="1"/>
  <c r="J81" i="1"/>
  <c r="I81" i="1" s="1"/>
  <c r="J82" i="1"/>
  <c r="J83" i="1"/>
  <c r="I83" i="1" s="1"/>
  <c r="J84" i="1"/>
  <c r="I84" i="1" s="1"/>
  <c r="J85" i="1"/>
  <c r="I85" i="1" s="1"/>
  <c r="J86" i="1"/>
  <c r="I86" i="1" s="1"/>
  <c r="J87" i="1"/>
  <c r="I87" i="1" s="1"/>
  <c r="J88" i="1"/>
  <c r="J89" i="1"/>
  <c r="I89" i="1" s="1"/>
  <c r="J90" i="1"/>
  <c r="J91" i="1"/>
  <c r="I91" i="1" s="1"/>
  <c r="J92" i="1"/>
  <c r="I92" i="1" s="1"/>
  <c r="J93" i="1"/>
  <c r="I93" i="1" s="1"/>
  <c r="J94" i="1"/>
  <c r="I94" i="1" s="1"/>
  <c r="J95" i="1"/>
  <c r="I95" i="1" s="1"/>
  <c r="J96" i="1"/>
  <c r="J97" i="1"/>
  <c r="I97" i="1" s="1"/>
  <c r="J98" i="1"/>
  <c r="J99" i="1"/>
  <c r="I99" i="1" s="1"/>
  <c r="J100" i="1"/>
  <c r="I100" i="1" s="1"/>
  <c r="J101" i="1"/>
  <c r="I101" i="1" s="1"/>
  <c r="J102" i="1"/>
  <c r="I102" i="1" s="1"/>
  <c r="J103" i="1"/>
  <c r="I103" i="1" s="1"/>
  <c r="J104" i="1"/>
  <c r="J105" i="1"/>
  <c r="I105" i="1" s="1"/>
  <c r="J106" i="1"/>
  <c r="J107" i="1"/>
  <c r="I107" i="1" s="1"/>
  <c r="J108" i="1"/>
  <c r="I108" i="1" s="1"/>
  <c r="J109" i="1"/>
  <c r="I109" i="1" s="1"/>
  <c r="J110" i="1"/>
  <c r="I110" i="1" s="1"/>
  <c r="J111" i="1"/>
  <c r="I111" i="1" s="1"/>
  <c r="J112" i="1"/>
  <c r="J113" i="1"/>
  <c r="I113" i="1" s="1"/>
  <c r="J114" i="1"/>
  <c r="J115" i="1"/>
  <c r="I115" i="1" s="1"/>
  <c r="J116" i="1"/>
  <c r="I116" i="1" s="1"/>
  <c r="J117" i="1"/>
  <c r="I117" i="1" s="1"/>
  <c r="J118" i="1"/>
  <c r="I118" i="1" s="1"/>
  <c r="J119" i="1"/>
  <c r="I119" i="1" s="1"/>
  <c r="J120" i="1"/>
  <c r="J121" i="1"/>
  <c r="I121" i="1" s="1"/>
  <c r="J122" i="1"/>
  <c r="J123" i="1"/>
  <c r="I123" i="1" s="1"/>
  <c r="J124" i="1"/>
  <c r="I124" i="1" s="1"/>
  <c r="J125" i="1"/>
  <c r="I125" i="1" s="1"/>
  <c r="J126" i="1"/>
  <c r="I126" i="1" s="1"/>
  <c r="J127" i="1"/>
  <c r="I127" i="1" s="1"/>
  <c r="J128" i="1"/>
  <c r="J129" i="1"/>
  <c r="I129" i="1" s="1"/>
  <c r="J130" i="1"/>
  <c r="J131" i="1"/>
  <c r="I131" i="1" s="1"/>
  <c r="J132" i="1"/>
  <c r="I132" i="1" s="1"/>
  <c r="J133" i="1"/>
  <c r="I133" i="1" s="1"/>
  <c r="J134" i="1"/>
  <c r="I134" i="1" s="1"/>
  <c r="J135" i="1"/>
  <c r="I135" i="1" s="1"/>
  <c r="J136" i="1"/>
  <c r="J137" i="1"/>
  <c r="I137" i="1" s="1"/>
  <c r="J138" i="1"/>
  <c r="J139" i="1"/>
  <c r="I139" i="1" s="1"/>
  <c r="J140" i="1"/>
  <c r="I140" i="1" s="1"/>
  <c r="J141" i="1"/>
  <c r="I141" i="1" s="1"/>
  <c r="J142" i="1"/>
  <c r="I142" i="1" s="1"/>
  <c r="J143" i="1"/>
  <c r="I143" i="1" s="1"/>
  <c r="J144" i="1"/>
  <c r="J145" i="1"/>
  <c r="I145" i="1" s="1"/>
  <c r="J146" i="1"/>
  <c r="J147" i="1"/>
  <c r="I147" i="1" s="1"/>
  <c r="J148" i="1"/>
  <c r="I148" i="1" s="1"/>
  <c r="J149" i="1"/>
  <c r="I149" i="1" s="1"/>
  <c r="J150" i="1"/>
  <c r="I150" i="1" s="1"/>
  <c r="J151" i="1"/>
  <c r="I151" i="1" s="1"/>
  <c r="J152" i="1"/>
  <c r="J153" i="1"/>
  <c r="I153" i="1" s="1"/>
  <c r="J154" i="1"/>
  <c r="J155" i="1"/>
  <c r="I155" i="1" s="1"/>
  <c r="J156" i="1"/>
  <c r="I156" i="1" s="1"/>
  <c r="J157" i="1"/>
  <c r="I157" i="1" s="1"/>
  <c r="J158" i="1"/>
  <c r="I158" i="1" s="1"/>
  <c r="J159" i="1"/>
  <c r="I159" i="1" s="1"/>
  <c r="J160" i="1"/>
  <c r="J161" i="1"/>
  <c r="I161" i="1" s="1"/>
  <c r="J162" i="1"/>
  <c r="J163" i="1"/>
  <c r="I163" i="1" s="1"/>
  <c r="J164" i="1"/>
  <c r="I164" i="1" s="1"/>
  <c r="J165" i="1"/>
  <c r="I165" i="1" s="1"/>
  <c r="J166" i="1"/>
  <c r="I166" i="1" s="1"/>
  <c r="J167" i="1"/>
  <c r="I167" i="1" s="1"/>
  <c r="J168" i="1"/>
  <c r="J169" i="1"/>
  <c r="I169" i="1" s="1"/>
  <c r="J170" i="1"/>
  <c r="J171" i="1"/>
  <c r="I171" i="1" s="1"/>
  <c r="J172" i="1"/>
  <c r="I172" i="1" s="1"/>
  <c r="J173" i="1"/>
  <c r="I173" i="1" s="1"/>
  <c r="J174" i="1"/>
  <c r="I174" i="1" s="1"/>
  <c r="J175" i="1"/>
  <c r="I175" i="1" s="1"/>
  <c r="J176" i="1"/>
  <c r="J177" i="1"/>
  <c r="I177" i="1" s="1"/>
  <c r="J178" i="1"/>
  <c r="J179" i="1"/>
  <c r="I179" i="1" s="1"/>
  <c r="J180" i="1"/>
  <c r="I180" i="1" s="1"/>
  <c r="J181" i="1"/>
  <c r="I181" i="1" s="1"/>
  <c r="J182" i="1"/>
  <c r="I182" i="1" s="1"/>
  <c r="J183" i="1"/>
  <c r="I183" i="1" s="1"/>
  <c r="J184" i="1"/>
  <c r="J185" i="1"/>
  <c r="I185" i="1" s="1"/>
  <c r="J186" i="1"/>
  <c r="J187" i="1"/>
  <c r="I187" i="1" s="1"/>
  <c r="J188" i="1"/>
  <c r="I188" i="1" s="1"/>
  <c r="J189" i="1"/>
  <c r="I189" i="1" s="1"/>
  <c r="J190" i="1"/>
  <c r="I190" i="1" s="1"/>
  <c r="J191" i="1"/>
  <c r="I191" i="1" s="1"/>
  <c r="J192" i="1"/>
  <c r="J193" i="1"/>
  <c r="I193" i="1" s="1"/>
  <c r="J194" i="1"/>
  <c r="J195" i="1"/>
  <c r="I195" i="1" s="1"/>
  <c r="J196" i="1"/>
  <c r="I196" i="1" s="1"/>
  <c r="J197" i="1"/>
  <c r="I197" i="1" s="1"/>
  <c r="J198" i="1"/>
  <c r="I198" i="1" s="1"/>
  <c r="J199" i="1"/>
  <c r="I199" i="1" s="1"/>
  <c r="J200" i="1"/>
  <c r="J201" i="1"/>
  <c r="I201" i="1" s="1"/>
  <c r="J202" i="1"/>
  <c r="J203" i="1"/>
  <c r="I203" i="1" s="1"/>
  <c r="J204" i="1"/>
  <c r="I204" i="1" s="1"/>
  <c r="J205" i="1"/>
  <c r="I205" i="1" s="1"/>
  <c r="J206" i="1"/>
  <c r="I206" i="1" s="1"/>
  <c r="J207" i="1"/>
  <c r="I207" i="1" s="1"/>
  <c r="J208" i="1"/>
  <c r="J209" i="1"/>
  <c r="I209" i="1" s="1"/>
  <c r="J210" i="1"/>
  <c r="J211" i="1"/>
  <c r="I211" i="1" s="1"/>
  <c r="J212" i="1"/>
  <c r="I212" i="1" s="1"/>
  <c r="J213" i="1"/>
  <c r="I213" i="1" s="1"/>
  <c r="J214" i="1"/>
  <c r="I214" i="1" s="1"/>
  <c r="J215" i="1"/>
  <c r="I215" i="1" s="1"/>
  <c r="J216" i="1"/>
  <c r="J217" i="1"/>
  <c r="I217" i="1" s="1"/>
  <c r="J218" i="1"/>
  <c r="J219" i="1"/>
  <c r="I219" i="1" s="1"/>
  <c r="J220" i="1"/>
  <c r="I220" i="1" s="1"/>
  <c r="J221" i="1"/>
  <c r="I221" i="1" s="1"/>
  <c r="J222" i="1"/>
  <c r="I222" i="1" s="1"/>
  <c r="J223" i="1"/>
  <c r="I223" i="1" s="1"/>
  <c r="J224" i="1"/>
  <c r="J225" i="1"/>
  <c r="I225" i="1" s="1"/>
  <c r="J226" i="1"/>
  <c r="J227" i="1"/>
  <c r="I227" i="1" s="1"/>
  <c r="J228" i="1"/>
  <c r="I228" i="1" s="1"/>
  <c r="J229" i="1"/>
  <c r="I229" i="1" s="1"/>
  <c r="J230" i="1"/>
  <c r="I230" i="1" s="1"/>
  <c r="J231" i="1"/>
  <c r="I231" i="1" s="1"/>
  <c r="J232" i="1"/>
  <c r="J233" i="1"/>
  <c r="I233" i="1" s="1"/>
  <c r="J234" i="1"/>
  <c r="J235" i="1"/>
  <c r="I235" i="1" s="1"/>
  <c r="J236" i="1"/>
  <c r="I236" i="1" s="1"/>
  <c r="J237" i="1"/>
  <c r="I237" i="1" s="1"/>
  <c r="J238" i="1"/>
  <c r="I238" i="1" s="1"/>
  <c r="J239" i="1"/>
  <c r="I239" i="1" s="1"/>
  <c r="J240" i="1"/>
  <c r="J241" i="1"/>
  <c r="I241" i="1" s="1"/>
  <c r="J242" i="1"/>
  <c r="J243" i="1"/>
  <c r="I243" i="1" s="1"/>
  <c r="J244" i="1"/>
  <c r="I244" i="1" s="1"/>
  <c r="J245" i="1"/>
  <c r="I245" i="1" s="1"/>
  <c r="J246" i="1"/>
  <c r="I246" i="1" s="1"/>
  <c r="J247" i="1"/>
  <c r="I247" i="1" s="1"/>
  <c r="J248" i="1"/>
  <c r="J249" i="1"/>
  <c r="I249" i="1" s="1"/>
  <c r="J250" i="1"/>
  <c r="J251" i="1"/>
  <c r="I251" i="1" s="1"/>
  <c r="J252" i="1"/>
  <c r="I252" i="1" s="1"/>
  <c r="J253" i="1"/>
  <c r="I253" i="1" s="1"/>
  <c r="J254" i="1"/>
  <c r="I254" i="1" s="1"/>
  <c r="J255" i="1"/>
  <c r="I255" i="1" s="1"/>
  <c r="J256" i="1"/>
  <c r="J257" i="1"/>
  <c r="I257" i="1" s="1"/>
  <c r="J258" i="1"/>
  <c r="J259" i="1"/>
  <c r="I259" i="1" s="1"/>
  <c r="J260" i="1"/>
  <c r="I260" i="1" s="1"/>
  <c r="J261" i="1"/>
  <c r="I261" i="1" s="1"/>
  <c r="J262" i="1"/>
  <c r="I262" i="1" s="1"/>
  <c r="J263" i="1"/>
  <c r="I263" i="1" s="1"/>
  <c r="J264" i="1"/>
  <c r="J265" i="1"/>
  <c r="I265" i="1" s="1"/>
  <c r="J266" i="1"/>
  <c r="J267" i="1"/>
  <c r="I267" i="1" s="1"/>
  <c r="J268" i="1"/>
  <c r="I268" i="1" s="1"/>
  <c r="J269" i="1"/>
  <c r="I269" i="1" s="1"/>
  <c r="J270" i="1"/>
  <c r="I270" i="1" s="1"/>
  <c r="J271" i="1"/>
  <c r="I271" i="1" s="1"/>
  <c r="J272" i="1"/>
  <c r="J273" i="1"/>
  <c r="I273" i="1" s="1"/>
  <c r="J274" i="1"/>
  <c r="J275" i="1"/>
  <c r="I275" i="1" s="1"/>
  <c r="J276" i="1"/>
  <c r="I276" i="1" s="1"/>
  <c r="J277" i="1"/>
  <c r="I277" i="1" s="1"/>
  <c r="J278" i="1"/>
  <c r="I278" i="1" s="1"/>
  <c r="J279" i="1"/>
  <c r="I279" i="1" s="1"/>
  <c r="J280" i="1"/>
  <c r="J281" i="1"/>
  <c r="I281" i="1" s="1"/>
  <c r="J282" i="1"/>
  <c r="J283" i="1"/>
  <c r="I283" i="1" s="1"/>
  <c r="J284" i="1"/>
  <c r="I284" i="1" s="1"/>
  <c r="J285" i="1"/>
  <c r="I285" i="1" s="1"/>
  <c r="J286" i="1"/>
  <c r="I286" i="1" s="1"/>
  <c r="J287" i="1"/>
  <c r="I287" i="1" s="1"/>
  <c r="J288" i="1"/>
  <c r="J289" i="1"/>
  <c r="I289" i="1" s="1"/>
  <c r="J290" i="1"/>
  <c r="J291" i="1"/>
  <c r="I291" i="1" s="1"/>
  <c r="J292" i="1"/>
  <c r="I292" i="1" s="1"/>
  <c r="J293" i="1"/>
  <c r="I293" i="1" s="1"/>
  <c r="J294" i="1"/>
  <c r="I294" i="1" s="1"/>
  <c r="J295" i="1"/>
  <c r="I295" i="1" s="1"/>
  <c r="J296" i="1"/>
  <c r="J297" i="1"/>
  <c r="I297" i="1" s="1"/>
  <c r="J298" i="1"/>
  <c r="J299" i="1"/>
  <c r="I299" i="1" s="1"/>
  <c r="J300" i="1"/>
  <c r="I300" i="1" s="1"/>
  <c r="J301" i="1"/>
  <c r="I301" i="1" s="1"/>
  <c r="J302" i="1"/>
  <c r="I302" i="1" s="1"/>
  <c r="J303" i="1"/>
  <c r="I303" i="1" s="1"/>
  <c r="J304" i="1"/>
  <c r="J305" i="1"/>
  <c r="I305" i="1" s="1"/>
  <c r="J306" i="1"/>
  <c r="J307" i="1"/>
  <c r="I307" i="1" s="1"/>
  <c r="J308" i="1"/>
  <c r="I308" i="1" s="1"/>
  <c r="J309" i="1"/>
  <c r="I309" i="1" s="1"/>
  <c r="J310" i="1"/>
  <c r="I310" i="1" s="1"/>
  <c r="J311" i="1"/>
  <c r="I311" i="1" s="1"/>
  <c r="J312" i="1"/>
  <c r="J313" i="1"/>
  <c r="I313" i="1" s="1"/>
  <c r="J314" i="1"/>
  <c r="J315" i="1"/>
  <c r="I315" i="1" s="1"/>
  <c r="J316" i="1"/>
  <c r="I316" i="1" s="1"/>
  <c r="J317" i="1"/>
  <c r="I317" i="1" s="1"/>
  <c r="J318" i="1"/>
  <c r="I318" i="1" s="1"/>
  <c r="J319" i="1"/>
  <c r="I319" i="1" s="1"/>
  <c r="J320" i="1"/>
  <c r="J321" i="1"/>
  <c r="I321" i="1" s="1"/>
  <c r="J322" i="1"/>
  <c r="J323" i="1"/>
  <c r="I323" i="1" s="1"/>
  <c r="J324" i="1"/>
  <c r="I324" i="1" s="1"/>
  <c r="J325" i="1"/>
  <c r="I325" i="1" s="1"/>
  <c r="J326" i="1"/>
  <c r="I326" i="1" s="1"/>
  <c r="J327" i="1"/>
  <c r="I327" i="1" s="1"/>
  <c r="J328" i="1"/>
  <c r="J329" i="1"/>
  <c r="I329" i="1" s="1"/>
  <c r="J330" i="1"/>
  <c r="J331" i="1"/>
  <c r="I331" i="1" s="1"/>
  <c r="J332" i="1"/>
  <c r="I332" i="1" s="1"/>
  <c r="J333" i="1"/>
  <c r="I333" i="1" s="1"/>
  <c r="J334" i="1"/>
  <c r="I334" i="1" s="1"/>
  <c r="J335" i="1"/>
  <c r="I335" i="1" s="1"/>
  <c r="J336" i="1"/>
  <c r="J337" i="1"/>
  <c r="I337" i="1" s="1"/>
  <c r="J338" i="1"/>
  <c r="J339" i="1"/>
  <c r="I339" i="1" s="1"/>
  <c r="J340" i="1"/>
  <c r="I340" i="1" s="1"/>
  <c r="J341" i="1"/>
  <c r="I341" i="1" s="1"/>
  <c r="J342" i="1"/>
  <c r="I342" i="1" s="1"/>
  <c r="J343" i="1"/>
  <c r="I343" i="1" s="1"/>
  <c r="J344" i="1"/>
  <c r="J345" i="1"/>
  <c r="I345" i="1" s="1"/>
  <c r="J346" i="1"/>
  <c r="J347" i="1"/>
  <c r="I347" i="1" s="1"/>
  <c r="J348" i="1"/>
  <c r="I348" i="1" s="1"/>
  <c r="J349" i="1"/>
  <c r="I349" i="1" s="1"/>
  <c r="J350" i="1"/>
  <c r="I350" i="1" s="1"/>
  <c r="J351" i="1"/>
  <c r="I351" i="1" s="1"/>
  <c r="J352" i="1"/>
  <c r="J353" i="1"/>
  <c r="I353" i="1" s="1"/>
  <c r="J354" i="1"/>
  <c r="J355" i="1"/>
  <c r="I355" i="1" s="1"/>
  <c r="J356" i="1"/>
  <c r="I356" i="1" s="1"/>
  <c r="J357" i="1"/>
  <c r="I357" i="1" s="1"/>
  <c r="J358" i="1"/>
  <c r="I358" i="1" s="1"/>
  <c r="J359" i="1"/>
  <c r="I359" i="1" s="1"/>
  <c r="J360" i="1"/>
  <c r="J361" i="1"/>
  <c r="I361" i="1" s="1"/>
  <c r="J362" i="1"/>
  <c r="J363" i="1"/>
  <c r="I363" i="1" s="1"/>
  <c r="J364" i="1"/>
  <c r="I364" i="1" s="1"/>
  <c r="J365" i="1"/>
  <c r="I365" i="1" s="1"/>
  <c r="J366" i="1"/>
  <c r="I366" i="1" s="1"/>
  <c r="J367" i="1"/>
  <c r="I367" i="1" s="1"/>
  <c r="J368" i="1"/>
  <c r="J369" i="1"/>
  <c r="I369" i="1" s="1"/>
  <c r="J370" i="1"/>
  <c r="J371" i="1"/>
  <c r="I371" i="1" s="1"/>
  <c r="J372" i="1"/>
  <c r="I372" i="1" s="1"/>
  <c r="J373" i="1"/>
  <c r="I373" i="1" s="1"/>
  <c r="J374" i="1"/>
  <c r="I374" i="1" s="1"/>
  <c r="J375" i="1"/>
  <c r="I375" i="1" s="1"/>
  <c r="J376" i="1"/>
  <c r="J377" i="1"/>
  <c r="I377" i="1" s="1"/>
  <c r="J378" i="1"/>
  <c r="J379" i="1"/>
  <c r="I379" i="1" s="1"/>
  <c r="J380" i="1"/>
  <c r="I380" i="1" s="1"/>
  <c r="J381" i="1"/>
  <c r="I381" i="1" s="1"/>
  <c r="J382" i="1"/>
  <c r="I382" i="1" s="1"/>
  <c r="J383" i="1"/>
  <c r="I383" i="1" s="1"/>
  <c r="J384" i="1"/>
  <c r="J385" i="1"/>
  <c r="I385" i="1" s="1"/>
  <c r="J386" i="1"/>
  <c r="J387" i="1"/>
  <c r="I387" i="1" s="1"/>
  <c r="J388" i="1"/>
  <c r="I388" i="1" s="1"/>
  <c r="J389" i="1"/>
  <c r="I389" i="1" s="1"/>
  <c r="J390" i="1"/>
  <c r="I390" i="1" s="1"/>
  <c r="J391" i="1"/>
  <c r="I391" i="1" s="1"/>
  <c r="J392" i="1"/>
  <c r="J393" i="1"/>
  <c r="I393" i="1" s="1"/>
  <c r="J394" i="1"/>
  <c r="J395" i="1"/>
  <c r="I395" i="1" s="1"/>
  <c r="J396" i="1"/>
  <c r="I396" i="1" s="1"/>
  <c r="J397" i="1"/>
  <c r="I397" i="1" s="1"/>
  <c r="J398" i="1"/>
  <c r="I398" i="1" s="1"/>
  <c r="J399" i="1"/>
  <c r="I399" i="1" s="1"/>
  <c r="J400" i="1"/>
  <c r="J401" i="1"/>
  <c r="I401" i="1" s="1"/>
  <c r="J402" i="1"/>
  <c r="J403" i="1"/>
  <c r="I403" i="1" s="1"/>
  <c r="J404" i="1"/>
  <c r="I404" i="1" s="1"/>
  <c r="J405" i="1"/>
  <c r="I405" i="1" s="1"/>
  <c r="J406" i="1"/>
  <c r="I406" i="1" s="1"/>
  <c r="J407" i="1"/>
  <c r="I407" i="1" s="1"/>
  <c r="J408" i="1"/>
  <c r="J409" i="1"/>
  <c r="I409" i="1" s="1"/>
  <c r="J410" i="1"/>
  <c r="J411" i="1"/>
  <c r="I411" i="1" s="1"/>
  <c r="J412" i="1"/>
  <c r="I412" i="1" s="1"/>
  <c r="J413" i="1"/>
  <c r="I413" i="1" s="1"/>
  <c r="J414" i="1"/>
  <c r="I414" i="1" s="1"/>
  <c r="J415" i="1"/>
  <c r="I415" i="1" s="1"/>
  <c r="J416" i="1"/>
  <c r="J417" i="1"/>
  <c r="I417" i="1" s="1"/>
  <c r="J418" i="1"/>
  <c r="J419" i="1"/>
  <c r="I419" i="1" s="1"/>
  <c r="J420" i="1"/>
  <c r="I420" i="1" s="1"/>
  <c r="J421" i="1"/>
  <c r="I421" i="1" s="1"/>
  <c r="J422" i="1"/>
  <c r="I422" i="1" s="1"/>
  <c r="J423" i="1"/>
  <c r="I423" i="1" s="1"/>
  <c r="J424" i="1"/>
  <c r="J425" i="1"/>
  <c r="I425" i="1" s="1"/>
  <c r="J426" i="1"/>
  <c r="J427" i="1"/>
  <c r="I427" i="1" s="1"/>
  <c r="J428" i="1"/>
  <c r="I428" i="1" s="1"/>
  <c r="J429" i="1"/>
  <c r="I429" i="1" s="1"/>
  <c r="J430" i="1"/>
  <c r="I430" i="1" s="1"/>
  <c r="J431" i="1"/>
  <c r="I431" i="1" s="1"/>
  <c r="J432" i="1"/>
  <c r="J433" i="1"/>
  <c r="I433" i="1" s="1"/>
  <c r="J434" i="1"/>
  <c r="J435" i="1"/>
  <c r="I435" i="1" s="1"/>
  <c r="J436" i="1"/>
  <c r="I436" i="1" s="1"/>
  <c r="J437" i="1"/>
  <c r="I437" i="1" s="1"/>
  <c r="J438" i="1"/>
  <c r="I438" i="1" s="1"/>
  <c r="J439" i="1"/>
  <c r="I439" i="1" s="1"/>
  <c r="J440" i="1"/>
  <c r="J441" i="1"/>
  <c r="I441" i="1" s="1"/>
  <c r="J442" i="1"/>
  <c r="J443" i="1"/>
  <c r="I443" i="1" s="1"/>
  <c r="J444" i="1"/>
  <c r="I444" i="1" s="1"/>
  <c r="J445" i="1"/>
  <c r="I445" i="1" s="1"/>
  <c r="J446" i="1"/>
  <c r="I446" i="1" s="1"/>
  <c r="J447" i="1"/>
  <c r="I447" i="1" s="1"/>
  <c r="J448" i="1"/>
  <c r="J449" i="1"/>
  <c r="I449" i="1" s="1"/>
  <c r="J450" i="1"/>
  <c r="J451" i="1"/>
  <c r="I451" i="1" s="1"/>
  <c r="J452" i="1"/>
  <c r="I452" i="1" s="1"/>
  <c r="J453" i="1"/>
  <c r="I453" i="1" s="1"/>
  <c r="J454" i="1"/>
  <c r="I454" i="1" s="1"/>
  <c r="J455" i="1"/>
  <c r="I455" i="1" s="1"/>
  <c r="J456" i="1"/>
  <c r="J457" i="1"/>
  <c r="I457" i="1" s="1"/>
  <c r="J458" i="1"/>
  <c r="J459" i="1"/>
  <c r="I459" i="1" s="1"/>
  <c r="J460" i="1"/>
  <c r="I460" i="1" s="1"/>
  <c r="J461" i="1"/>
  <c r="I461" i="1" s="1"/>
  <c r="J462" i="1"/>
  <c r="I462" i="1" s="1"/>
  <c r="J463" i="1"/>
  <c r="I463" i="1" s="1"/>
  <c r="J464" i="1"/>
  <c r="J465" i="1"/>
  <c r="I465" i="1" s="1"/>
  <c r="J466" i="1"/>
  <c r="J467" i="1"/>
  <c r="I467" i="1" s="1"/>
  <c r="J468" i="1"/>
  <c r="I468" i="1" s="1"/>
  <c r="J469" i="1"/>
  <c r="I469" i="1" s="1"/>
  <c r="J470" i="1"/>
  <c r="I470" i="1" s="1"/>
  <c r="J471" i="1"/>
  <c r="I471" i="1" s="1"/>
  <c r="J472" i="1"/>
  <c r="J473" i="1"/>
  <c r="I473" i="1" s="1"/>
  <c r="J474" i="1"/>
  <c r="J475" i="1"/>
  <c r="I475" i="1" s="1"/>
  <c r="J476" i="1"/>
  <c r="I476" i="1" s="1"/>
  <c r="J477" i="1"/>
  <c r="I477" i="1" s="1"/>
  <c r="J478" i="1"/>
  <c r="I478" i="1" s="1"/>
  <c r="J479" i="1"/>
  <c r="I479" i="1" s="1"/>
  <c r="J480" i="1"/>
  <c r="J481" i="1"/>
  <c r="I481" i="1" s="1"/>
  <c r="J482" i="1"/>
  <c r="J2" i="1"/>
  <c r="I2" i="1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2" i="1"/>
  <c r="M2" i="1"/>
  <c r="N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3" i="1"/>
  <c r="I480" i="1" l="1"/>
  <c r="I472" i="1"/>
  <c r="I464" i="1"/>
  <c r="I456" i="1"/>
  <c r="I448" i="1"/>
  <c r="I440" i="1"/>
  <c r="I432" i="1"/>
  <c r="I424" i="1"/>
  <c r="I416" i="1"/>
  <c r="I408" i="1"/>
  <c r="I400" i="1"/>
  <c r="I392" i="1"/>
  <c r="I384" i="1"/>
  <c r="I376" i="1"/>
  <c r="I368" i="1"/>
  <c r="I360" i="1"/>
  <c r="I352" i="1"/>
  <c r="I344" i="1"/>
  <c r="I336" i="1"/>
  <c r="I328" i="1"/>
  <c r="I320" i="1"/>
  <c r="I312" i="1"/>
  <c r="I304" i="1"/>
  <c r="I296" i="1"/>
  <c r="I288" i="1"/>
  <c r="I280" i="1"/>
  <c r="I272" i="1"/>
  <c r="I264" i="1"/>
  <c r="I256" i="1"/>
  <c r="I248" i="1"/>
  <c r="I240" i="1"/>
  <c r="I232" i="1"/>
  <c r="I224" i="1"/>
  <c r="I216" i="1"/>
  <c r="I208" i="1"/>
  <c r="I200" i="1"/>
  <c r="I192" i="1"/>
  <c r="I184" i="1"/>
  <c r="I176" i="1"/>
  <c r="I168" i="1"/>
  <c r="I160" i="1"/>
  <c r="I152" i="1"/>
  <c r="I144" i="1"/>
  <c r="I136" i="1"/>
  <c r="I128" i="1"/>
  <c r="I120" i="1"/>
  <c r="I112" i="1"/>
  <c r="I104" i="1"/>
  <c r="I96" i="1"/>
  <c r="I88" i="1"/>
  <c r="I80" i="1"/>
  <c r="I72" i="1"/>
  <c r="I64" i="1"/>
  <c r="I56" i="1"/>
  <c r="I48" i="1"/>
  <c r="I40" i="1"/>
  <c r="I32" i="1"/>
  <c r="I24" i="1"/>
  <c r="I16" i="1"/>
  <c r="I8" i="1"/>
  <c r="I482" i="1"/>
  <c r="I474" i="1"/>
  <c r="I466" i="1"/>
  <c r="I458" i="1"/>
  <c r="I450" i="1"/>
  <c r="I442" i="1"/>
  <c r="I434" i="1"/>
  <c r="I426" i="1"/>
  <c r="I418" i="1"/>
  <c r="I410" i="1"/>
  <c r="I402" i="1"/>
  <c r="I394" i="1"/>
  <c r="I386" i="1"/>
  <c r="I378" i="1"/>
  <c r="I370" i="1"/>
  <c r="I362" i="1"/>
  <c r="I354" i="1"/>
  <c r="I346" i="1"/>
  <c r="I338" i="1"/>
  <c r="I330" i="1"/>
  <c r="I322" i="1"/>
  <c r="I314" i="1"/>
  <c r="I306" i="1"/>
  <c r="I298" i="1"/>
  <c r="I290" i="1"/>
  <c r="I282" i="1"/>
  <c r="I274" i="1"/>
  <c r="I266" i="1"/>
  <c r="I258" i="1"/>
  <c r="I250" i="1"/>
  <c r="I242" i="1"/>
  <c r="I234" i="1"/>
  <c r="I226" i="1"/>
  <c r="I218" i="1"/>
  <c r="I210" i="1"/>
  <c r="I202" i="1"/>
  <c r="I194" i="1"/>
  <c r="I186" i="1"/>
  <c r="I178" i="1"/>
  <c r="I170" i="1"/>
  <c r="I162" i="1"/>
  <c r="I154" i="1"/>
  <c r="I146" i="1"/>
  <c r="I138" i="1"/>
  <c r="I130" i="1"/>
  <c r="I122" i="1"/>
  <c r="I114" i="1"/>
  <c r="I106" i="1"/>
  <c r="I98" i="1"/>
  <c r="I90" i="1"/>
  <c r="I82" i="1"/>
  <c r="I74" i="1"/>
  <c r="I66" i="1"/>
  <c r="I58" i="1"/>
  <c r="I50" i="1"/>
  <c r="I42" i="1"/>
  <c r="I34" i="1"/>
  <c r="I26" i="1"/>
  <c r="I18" i="1"/>
  <c r="I10" i="1"/>
</calcChain>
</file>

<file path=xl/sharedStrings.xml><?xml version="1.0" encoding="utf-8"?>
<sst xmlns="http://schemas.openxmlformats.org/spreadsheetml/2006/main" count="1449" uniqueCount="305">
  <si>
    <t>PDB1</t>
  </si>
  <si>
    <t>PDB2</t>
  </si>
  <si>
    <t>Z-score</t>
  </si>
  <si>
    <t>RMSD</t>
  </si>
  <si>
    <t>lali</t>
  </si>
  <si>
    <t>nres</t>
  </si>
  <si>
    <t>%id</t>
  </si>
  <si>
    <t>SF_ID_1</t>
  </si>
  <si>
    <t>React1</t>
  </si>
  <si>
    <t>Coord1</t>
  </si>
  <si>
    <t>supfam1</t>
  </si>
  <si>
    <t>supfam2</t>
  </si>
  <si>
    <t>Coord2</t>
  </si>
  <si>
    <t>React2</t>
  </si>
  <si>
    <t>SF_ID_2</t>
  </si>
  <si>
    <t>1s1dA</t>
  </si>
  <si>
    <t>4amfA</t>
  </si>
  <si>
    <t>4ru9A</t>
  </si>
  <si>
    <t>1wc6B</t>
  </si>
  <si>
    <t>3amtA</t>
  </si>
  <si>
    <t>3f2bA</t>
  </si>
  <si>
    <t>3vthA</t>
  </si>
  <si>
    <t>1d4xA</t>
  </si>
  <si>
    <t>6cauA</t>
  </si>
  <si>
    <t>2jg1C</t>
  </si>
  <si>
    <t>3c1mC</t>
  </si>
  <si>
    <t>2j9cA</t>
  </si>
  <si>
    <t>7edzC</t>
  </si>
  <si>
    <t>6h77A</t>
  </si>
  <si>
    <t>8dbjA</t>
  </si>
  <si>
    <t>1to6A</t>
  </si>
  <si>
    <t>3v2uC</t>
  </si>
  <si>
    <t>6kshD</t>
  </si>
  <si>
    <t>5bsmA</t>
  </si>
  <si>
    <t>7alrA</t>
  </si>
  <si>
    <t>2x14A</t>
  </si>
  <si>
    <t>121pA</t>
  </si>
  <si>
    <t>3f5mA</t>
  </si>
  <si>
    <t>4yvzA</t>
  </si>
  <si>
    <t>1k90A</t>
  </si>
  <si>
    <t>2q16B</t>
  </si>
  <si>
    <t>4ctaA</t>
  </si>
  <si>
    <t>1z0sA</t>
  </si>
  <si>
    <t>2i1oA</t>
  </si>
  <si>
    <t>2xanA</t>
  </si>
  <si>
    <t>2aqxB</t>
  </si>
  <si>
    <t>3wdlB</t>
  </si>
  <si>
    <t>4crjA</t>
  </si>
  <si>
    <t>3wguC</t>
  </si>
  <si>
    <t>6t0vB</t>
  </si>
  <si>
    <t>1f3fC</t>
  </si>
  <si>
    <t>1un9A</t>
  </si>
  <si>
    <t>5dd7A</t>
  </si>
  <si>
    <t>3dntA</t>
  </si>
  <si>
    <t>5dghA</t>
  </si>
  <si>
    <t>4edkA</t>
  </si>
  <si>
    <t>3ruvD</t>
  </si>
  <si>
    <t>2bz0A</t>
  </si>
  <si>
    <t>4uxxC</t>
  </si>
  <si>
    <t>7nsdA</t>
  </si>
  <si>
    <t>4ff3A</t>
  </si>
  <si>
    <t>5trdA</t>
  </si>
  <si>
    <t>7tgkD</t>
  </si>
  <si>
    <t>5w51E</t>
  </si>
  <si>
    <t>1yzyA</t>
  </si>
  <si>
    <t>6d5kC</t>
  </si>
  <si>
    <t>3jqmB</t>
  </si>
  <si>
    <t>2f17A</t>
  </si>
  <si>
    <t>6sqzD</t>
  </si>
  <si>
    <t>5gufA</t>
  </si>
  <si>
    <t>6vd0A</t>
  </si>
  <si>
    <t>3tuxA</t>
  </si>
  <si>
    <t>6ci7C</t>
  </si>
  <si>
    <t>1mb9B</t>
  </si>
  <si>
    <t>1j09A</t>
  </si>
  <si>
    <t>8dcdA</t>
  </si>
  <si>
    <t>6ig2D</t>
  </si>
  <si>
    <t>6p1pA</t>
  </si>
  <si>
    <t>1twfB</t>
  </si>
  <si>
    <t>6c02A</t>
  </si>
  <si>
    <t>1vl1A</t>
  </si>
  <si>
    <t>6b5kA</t>
  </si>
  <si>
    <t>7y7pA</t>
  </si>
  <si>
    <t>7uldA</t>
  </si>
  <si>
    <t>4lacC</t>
  </si>
  <si>
    <t>6txeA</t>
  </si>
  <si>
    <t>7d8iA</t>
  </si>
  <si>
    <t>1xdpA</t>
  </si>
  <si>
    <t>6a8pB</t>
  </si>
  <si>
    <t>1fitA</t>
  </si>
  <si>
    <t>7cqqA</t>
  </si>
  <si>
    <t>3zcbA</t>
  </si>
  <si>
    <t>3ercC</t>
  </si>
  <si>
    <t>7fggA</t>
  </si>
  <si>
    <t>6r5dA</t>
  </si>
  <si>
    <t>Representative</t>
  </si>
  <si>
    <t>SF</t>
  </si>
  <si>
    <t>Reaction</t>
  </si>
  <si>
    <t>SF ID</t>
  </si>
  <si>
    <t>Coordination</t>
  </si>
  <si>
    <t>Phosphoenolpyruvate/pyruvate domain</t>
  </si>
  <si>
    <t>Pi</t>
  </si>
  <si>
    <t>c.1.12</t>
  </si>
  <si>
    <t>ABG(–)</t>
  </si>
  <si>
    <t>Molybdenum cofactor biosynthesis proteins</t>
  </si>
  <si>
    <t>c.57.1</t>
  </si>
  <si>
    <t>Phosphoglycerate kinase</t>
  </si>
  <si>
    <t>c.86.1</t>
  </si>
  <si>
    <t>GlnB-like</t>
  </si>
  <si>
    <t>d.58.5</t>
  </si>
  <si>
    <t>Phosphofructokinase</t>
  </si>
  <si>
    <t>c.89.1</t>
  </si>
  <si>
    <t>GroEL equatorial domain-like</t>
  </si>
  <si>
    <t>a.129.1</t>
  </si>
  <si>
    <t>ABG(+)</t>
  </si>
  <si>
    <t>Riboflavin kinase-like</t>
  </si>
  <si>
    <t>b.43.5</t>
  </si>
  <si>
    <t>Carbamate kinase-like</t>
  </si>
  <si>
    <t>c.73.1</t>
  </si>
  <si>
    <t>GHMP Kinase, C-terminal domain</t>
  </si>
  <si>
    <t>d.58.26</t>
  </si>
  <si>
    <t>Nucleoside diphosphate kinase, NDK</t>
  </si>
  <si>
    <t>d.58.6</t>
  </si>
  <si>
    <t>CYTH-like phosphatases</t>
  </si>
  <si>
    <t>d.63.1</t>
  </si>
  <si>
    <t>PurM N-terminal domain-like</t>
  </si>
  <si>
    <t>d.79.4</t>
  </si>
  <si>
    <t>1i58A</t>
  </si>
  <si>
    <t>ATPase domain of HSP90 chaperone/DNA topoisomerase II/histidine kinase</t>
  </si>
  <si>
    <t>d.122.1</t>
  </si>
  <si>
    <t>3hy2Y</t>
  </si>
  <si>
    <t>ParB/Sulfiredoxin</t>
  </si>
  <si>
    <t>d.268.1</t>
  </si>
  <si>
    <t>CofE-like</t>
  </si>
  <si>
    <t>d.340.1</t>
  </si>
  <si>
    <t>NAD kinase/diacylglycerol kinase-like</t>
  </si>
  <si>
    <t>e.52.1</t>
  </si>
  <si>
    <t>DhaL-like</t>
  </si>
  <si>
    <t>a.208.1</t>
  </si>
  <si>
    <t>BG(–)</t>
  </si>
  <si>
    <t>Tubulin nucleotide-binding domain-like</t>
  </si>
  <si>
    <t>c.32.1</t>
  </si>
  <si>
    <t>P-loop containing nucleoside triphosphate hydrolases</t>
  </si>
  <si>
    <t>c.37.1</t>
  </si>
  <si>
    <t>Ribokinase-like</t>
  </si>
  <si>
    <t>c.72.1</t>
  </si>
  <si>
    <t>MurD-like peptide ligases, catalytic domain</t>
  </si>
  <si>
    <t>c.72.2</t>
  </si>
  <si>
    <t>2py7X</t>
  </si>
  <si>
    <t>PEP carboxykinase-like</t>
  </si>
  <si>
    <t>c.91.1</t>
  </si>
  <si>
    <t>Glutathione synthetase ATP-binding domain-like</t>
  </si>
  <si>
    <t>d.142.1</t>
  </si>
  <si>
    <t>SAICAR synthase-like</t>
  </si>
  <si>
    <t>d.143.1</t>
  </si>
  <si>
    <t>Protein kinase-like (PK-like)</t>
  </si>
  <si>
    <t>d.144.1</t>
  </si>
  <si>
    <t>Metal cation-transporting ATPase, ATP-binding domain N</t>
  </si>
  <si>
    <t>d.220.1</t>
  </si>
  <si>
    <t>Diacylglycerol kinase (DgkA)-like</t>
  </si>
  <si>
    <t>f.62.1</t>
  </si>
  <si>
    <t>Inositol-pentaphosphate 2-kinase</t>
  </si>
  <si>
    <t>N/A</t>
  </si>
  <si>
    <t>YcaO-related McrA-glycine thioamidation protein</t>
  </si>
  <si>
    <t>3gqkA</t>
  </si>
  <si>
    <t>Peptidase G2, IMC autoproteolytic cleavage domain</t>
  </si>
  <si>
    <t>Calcium-dependent phosphotriesterase</t>
  </si>
  <si>
    <t>b.68.6</t>
  </si>
  <si>
    <t>Actin-like ATPase domain</t>
  </si>
  <si>
    <t>c.55.1</t>
  </si>
  <si>
    <t>BG(+)</t>
  </si>
  <si>
    <t>Glutamine synthetase/guanido kinase</t>
  </si>
  <si>
    <t>d.128.1</t>
  </si>
  <si>
    <t>Metallo-dependent phosphatases</t>
  </si>
  <si>
    <t>d.159.1</t>
  </si>
  <si>
    <t>G</t>
  </si>
  <si>
    <t>FomD-like</t>
  </si>
  <si>
    <t>b.175.1</t>
  </si>
  <si>
    <t>B</t>
  </si>
  <si>
    <t>Phospholipase D/nuclease</t>
  </si>
  <si>
    <t>d.136.1</t>
  </si>
  <si>
    <t>Nicotinate/Quinolinate PRTase C-terminal domain-like</t>
  </si>
  <si>
    <t>c.1.17</t>
  </si>
  <si>
    <t>NagB/RpiA/CoA transferase-like</t>
  </si>
  <si>
    <t>c.124.1</t>
  </si>
  <si>
    <t>Glycerate kinase I</t>
  </si>
  <si>
    <t>c.141.1</t>
  </si>
  <si>
    <t>YgbK-like</t>
  </si>
  <si>
    <t>c.146.1</t>
  </si>
  <si>
    <t>HIT-like</t>
  </si>
  <si>
    <t>d.13.1</t>
  </si>
  <si>
    <t>Apyrase</t>
  </si>
  <si>
    <t>b.67.3</t>
  </si>
  <si>
    <t>Transglutaminase, two C-terminal domains</t>
  </si>
  <si>
    <t>b.1.5</t>
  </si>
  <si>
    <t>RibA-like</t>
  </si>
  <si>
    <t>PPi</t>
  </si>
  <si>
    <t>c.144.1</t>
  </si>
  <si>
    <t>AB</t>
  </si>
  <si>
    <t>Fic-like</t>
  </si>
  <si>
    <t>a.265.1</t>
  </si>
  <si>
    <t>AB(–)</t>
  </si>
  <si>
    <t>DNA primase core</t>
  </si>
  <si>
    <t>e.13.1</t>
  </si>
  <si>
    <t>Mitochondrial carrier</t>
  </si>
  <si>
    <t>f.42.1</t>
  </si>
  <si>
    <t>Adenylylcyclase toxin (the edema factor)</t>
  </si>
  <si>
    <t>e.41.1</t>
  </si>
  <si>
    <t>6-hydroxymethyl-7,8-dihydropterin pyrophosphokinase, HPPK</t>
  </si>
  <si>
    <t>d.58.30</t>
  </si>
  <si>
    <t>AB(+)</t>
  </si>
  <si>
    <t>6aazA</t>
  </si>
  <si>
    <t>Class II aaRS and biotin synthetases</t>
  </si>
  <si>
    <t>d.104.1</t>
  </si>
  <si>
    <t>6fl4A</t>
  </si>
  <si>
    <t>Nudix</t>
  </si>
  <si>
    <t>d.113.1</t>
  </si>
  <si>
    <t>tRNA-splicing ligase RtcB-like superfamily</t>
  </si>
  <si>
    <t>beta and beta-prime subunits of DNA dependent RNA-polymerase</t>
  </si>
  <si>
    <t>e.29.1</t>
  </si>
  <si>
    <t>Aerobactin siderophore biosynthesis, IucA/IucC-like</t>
  </si>
  <si>
    <t>1rn8A</t>
  </si>
  <si>
    <t>dUTPase-like</t>
  </si>
  <si>
    <t>b.85.4</t>
  </si>
  <si>
    <t>Nucleotidylyl transferase</t>
  </si>
  <si>
    <t>c.26.1</t>
  </si>
  <si>
    <t>ITPase-like</t>
  </si>
  <si>
    <t>c.51.4</t>
  </si>
  <si>
    <t>CoaB-like</t>
  </si>
  <si>
    <t>c.72.3</t>
  </si>
  <si>
    <t>Nucleotide cyclase</t>
  </si>
  <si>
    <t>d.58.29</t>
  </si>
  <si>
    <t>EPT/RTPC-like</t>
  </si>
  <si>
    <t>d.68.2</t>
  </si>
  <si>
    <t>YrdC/RibB</t>
  </si>
  <si>
    <t>d.115.1</t>
  </si>
  <si>
    <t>Nucleotidyltransferase</t>
  </si>
  <si>
    <t>d.218.1</t>
  </si>
  <si>
    <t>Prim-pol domain</t>
  </si>
  <si>
    <t>d.264.1</t>
  </si>
  <si>
    <t>YojJ-like</t>
  </si>
  <si>
    <t>d.320.1</t>
  </si>
  <si>
    <t>DNA/RNA polymerases</t>
  </si>
  <si>
    <t>e.8.1</t>
  </si>
  <si>
    <t>Bacterial DNA polymerase III, alpha subunit, NTPase domain</t>
  </si>
  <si>
    <t>Poly(A) polymerase catalytic subunit-like</t>
  </si>
  <si>
    <t>e.69.1</t>
  </si>
  <si>
    <t>Influenza RNA-dependent RNA polymerase subunit PB1</t>
  </si>
  <si>
    <t>RNA-dependent RNA polymerase, eukaryotic-type</t>
  </si>
  <si>
    <t>all-alpha NTP pyrophosphatases</t>
  </si>
  <si>
    <t>a.204.1</t>
  </si>
  <si>
    <t>Adenine nucleotide alpha hydrolases-like</t>
  </si>
  <si>
    <t>c.26.2</t>
  </si>
  <si>
    <t>PRTase-like</t>
  </si>
  <si>
    <t>c.61.1</t>
  </si>
  <si>
    <t>Nucleotide-diphospho-sugar transferases</t>
  </si>
  <si>
    <t>c.68.1</t>
  </si>
  <si>
    <t>Activating enzymes of the ubiquitin-like proteins</t>
  </si>
  <si>
    <t>c.111.1</t>
  </si>
  <si>
    <t>Phosphopantoate/pantothenate synthetase superfamily</t>
  </si>
  <si>
    <t>Virion DNA-directed RNA polymerase domain</t>
  </si>
  <si>
    <t>Thiamin pyrophosphokinase, catalytic domain</t>
  </si>
  <si>
    <t>c.100.1</t>
  </si>
  <si>
    <t>AG</t>
  </si>
  <si>
    <t>Acetyl-CoA synthetase-like</t>
  </si>
  <si>
    <t>e.23.1</t>
  </si>
  <si>
    <t>1xdnA</t>
  </si>
  <si>
    <t>DNA ligase/mRNA capping enzyme, catalytic domain</t>
  </si>
  <si>
    <t>d.142.2</t>
  </si>
  <si>
    <t>BG</t>
  </si>
  <si>
    <t>Alkaline phosphatase-like</t>
  </si>
  <si>
    <t>c.76.1</t>
  </si>
  <si>
    <t>A(–)</t>
  </si>
  <si>
    <t>RPB5-like RNA polymerase subunit</t>
  </si>
  <si>
    <t>d.78.1</t>
  </si>
  <si>
    <t>tRNA(Ile2) 2-agmatinylcytidine synthetase TiaS</t>
  </si>
  <si>
    <t>Phosphatidate cytidylyltransferase</t>
  </si>
  <si>
    <t>Molybdenum cofactor biosynthesis protein C, MoaC</t>
  </si>
  <si>
    <t>d.58.21</t>
  </si>
  <si>
    <t>S-adenosyl-L-methionine-dependent methyltransferases</t>
  </si>
  <si>
    <t>c.66.1</t>
  </si>
  <si>
    <t>n/a</t>
  </si>
  <si>
    <t>GTP cyclohydrolase MptA</t>
  </si>
  <si>
    <t>S-adenosylmethionine synthetase</t>
  </si>
  <si>
    <t>PPPi</t>
  </si>
  <si>
    <t>d.130.1</t>
  </si>
  <si>
    <t>Cobalamin adenosyltransferase-like</t>
  </si>
  <si>
    <t>a.25.2</t>
  </si>
  <si>
    <t>7v0fA</t>
  </si>
  <si>
    <t>Tetrahydrobiopterin biosynthesis enzymes-like</t>
  </si>
  <si>
    <t>d.96.1</t>
  </si>
  <si>
    <t>HD-domain/PDEase-like</t>
  </si>
  <si>
    <t>a.211.1</t>
  </si>
  <si>
    <t>not the nucleotid binding domain align</t>
  </si>
  <si>
    <t>aligns with the correct chain, but wrong domain.</t>
  </si>
  <si>
    <t>medium structural elements align well, active sites in very different places</t>
  </si>
  <si>
    <t>alignment is good, but not with the region of interest within the same domain</t>
  </si>
  <si>
    <t>excellent alingment, nucleotide is in different regions</t>
  </si>
  <si>
    <t>one domain matches perfectly, nucleotide binding seems to be an adjacent domain</t>
  </si>
  <si>
    <t>one domain matches perfectly, nucleotide binding doesn't match</t>
  </si>
  <si>
    <t>wrong domain aligns (otherwise it aligns well)</t>
  </si>
  <si>
    <t>very close…</t>
  </si>
  <si>
    <t>part of the fold matches well, however nucleotide binding is clearly very different</t>
  </si>
  <si>
    <t>fold matches well the domain, but NTP binding is clearly distinct</t>
  </si>
  <si>
    <t>fold matches, but the nucleotide binds elsewhere for Yrdc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</si>
</sst>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FAB8E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0" fontId="18" fillId="0" borderId="0" xfId="0" applyFont="1"/>
    <xf numFmtId="0" fontId="0" fillId="0" borderId="0" xfId="0" applyAlignment="1">
      <alignment vertical="center"/>
    </xf>
    <xf numFmtId="0" fontId="0" fillId="33" borderId="0" xfId="0" applyFill="1"/>
    <xf numFmtId="0" fontId="19" fillId="0" borderId="0" xfId="0" applyFont="1"/>
    <xf numFmtId="0" fontId="0" fillId="34" borderId="0" xfId="0" applyFill="1"/>
    <xf numFmtId="0" fontId="17" fillId="35" borderId="0" xfId="0" applyFont="1" applyFill="1"/>
    <xf numFmtId="0" fontId="17" fillId="35" borderId="0" xfId="0" applyFont="1" applyFill="1" applyAlignment="1">
      <alignment vertical="center"/>
    </xf>
    <xf numFmtId="0" fontId="17" fillId="36" borderId="0" xfId="0" applyFont="1" applyFill="1"/>
    <xf numFmtId="0" fontId="0" fillId="37" borderId="0" xfId="0" applyFill="1"/>
    <xf numFmtId="0" fontId="17" fillId="0" borderId="0" xfId="0" applyFont="1"/>
    <xf numFmtId="0" fontId="16" fillId="0" borderId="0" xfId="0" applyFont="1" applyAlignment="1">
      <alignment horizontal="center"/>
    </xf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0" fillId="43" borderId="0" xfId="0" applyFill="1"/>
    <xf numFmtId="0" fontId="0" fillId="44" borderId="0" xfId="0" applyFill="1"/>
    <xf numFmtId="0" fontId="0" fillId="45" borderId="0" xfId="0" applyFill="1"/>
    <xf numFmtId="0" fontId="0" fillId="4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B54E-7142-4BFD-AA11-CDF69FA7AC63}">
  <dimension ref="A1:R482"/>
  <sheetViews>
    <sheetView tabSelected="1" workbookViewId="0">
      <selection activeCell="Q53" sqref="Q53"/>
    </sheetView>
  </sheetViews>
  <sheetFormatPr defaultRowHeight="15" x14ac:dyDescent="0.25"/>
  <cols>
    <col min="1" max="1" width="6.7109375" customWidth="1"/>
    <col min="2" max="3" width="6.85546875" customWidth="1"/>
    <col min="4" max="4" width="7.140625" customWidth="1"/>
    <col min="5" max="5" width="5.28515625" customWidth="1"/>
    <col min="6" max="6" width="5" customWidth="1"/>
    <col min="7" max="7" width="4.42578125" customWidth="1"/>
    <col min="8" max="8" width="1.5703125" customWidth="1"/>
    <col min="9" max="9" width="6.140625" customWidth="1"/>
    <col min="10" max="10" width="9.42578125" customWidth="1"/>
    <col min="11" max="11" width="6.140625" customWidth="1"/>
    <col min="12" max="12" width="6.85546875" customWidth="1"/>
    <col min="13" max="13" width="30.140625" customWidth="1"/>
    <col min="14" max="14" width="31.42578125" customWidth="1"/>
    <col min="15" max="15" width="7.5703125" customWidth="1"/>
  </cols>
  <sheetData>
    <row r="1" spans="1:18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J1" s="11" t="s">
        <v>7</v>
      </c>
      <c r="K1" s="11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</row>
    <row r="2" spans="1:18" s="19" customFormat="1" x14ac:dyDescent="0.25">
      <c r="A2" s="19" t="s">
        <v>15</v>
      </c>
      <c r="B2" s="19" t="s">
        <v>16</v>
      </c>
      <c r="C2" s="19">
        <v>9.5</v>
      </c>
      <c r="D2" s="19">
        <v>4.4000000000000004</v>
      </c>
      <c r="E2" s="19">
        <v>214</v>
      </c>
      <c r="F2" s="19">
        <v>317</v>
      </c>
      <c r="G2" s="19">
        <v>11</v>
      </c>
      <c r="I2" s="19" t="str">
        <f>IF(_xlfn.TEXTBEFORE(J2,".",2,0,1)=_xlfn.TEXTBEFORE(Q2,".",2,0,1),"x","")</f>
        <v/>
      </c>
      <c r="J2" s="19" t="str">
        <f>VLOOKUP(aggregated_results!A2,representatives_list!A:D,4,FALSE)</f>
        <v>b.67.3</v>
      </c>
      <c r="K2" s="19" t="str">
        <f>VLOOKUP(aggregated_results!A2,representatives_list!A:D,3,FALSE)</f>
        <v>Pi</v>
      </c>
      <c r="L2" s="19" t="str">
        <f>VLOOKUP(aggregated_results!A2,representatives_list!A:E,5,FALSE)</f>
        <v>N/A</v>
      </c>
      <c r="M2" s="19" t="str">
        <f>VLOOKUP(A2,representatives_list!A:B,2,FALSE)</f>
        <v>Apyrase</v>
      </c>
      <c r="N2" s="19" t="str">
        <f>VLOOKUP(B2,representatives_list!A:B,2,FALSE)</f>
        <v>Calcium-dependent phosphotriesterase</v>
      </c>
      <c r="O2" s="19" t="str">
        <f>VLOOKUP(aggregated_results!B2,representatives_list!A:E,5,FALSE)</f>
        <v>BG(–)</v>
      </c>
      <c r="P2" s="19" t="str">
        <f>VLOOKUP(aggregated_results!B2,representatives_list!A:D,3,FALSE)</f>
        <v>Pi</v>
      </c>
      <c r="Q2" s="19" t="str">
        <f>VLOOKUP(aggregated_results!B2,representatives_list!A:D,4,FALSE)</f>
        <v>b.68.6</v>
      </c>
    </row>
    <row r="3" spans="1:18" x14ac:dyDescent="0.25">
      <c r="A3" t="s">
        <v>17</v>
      </c>
      <c r="B3" t="s">
        <v>18</v>
      </c>
      <c r="C3">
        <v>8.5</v>
      </c>
      <c r="D3">
        <v>4.0999999999999996</v>
      </c>
      <c r="E3">
        <v>123</v>
      </c>
      <c r="F3">
        <v>427</v>
      </c>
      <c r="G3">
        <v>15</v>
      </c>
      <c r="I3" t="str">
        <f t="shared" ref="I3:I66" si="0">IF(_xlfn.TEXTBEFORE(J3,".",2,0,1)=_xlfn.TEXTBEFORE(Q3,".",2,0,1),"x","")</f>
        <v/>
      </c>
      <c r="J3" t="str">
        <f>VLOOKUP(aggregated_results!A3,representatives_list!A:D,4,FALSE)</f>
        <v>e.8.1</v>
      </c>
      <c r="K3" t="str">
        <f>VLOOKUP(aggregated_results!A3,representatives_list!A:D,3,FALSE)</f>
        <v>PPi</v>
      </c>
      <c r="L3" t="str">
        <f>VLOOKUP(aggregated_results!A3,representatives_list!A:E,5,FALSE)</f>
        <v>ABG(–)</v>
      </c>
      <c r="M3" t="str">
        <f>VLOOKUP(A3,representatives_list!A:B,2,FALSE)</f>
        <v>DNA/RNA polymerases</v>
      </c>
      <c r="N3" t="str">
        <f>VLOOKUP(B3,representatives_list!A:B,2,FALSE)</f>
        <v>Nucleotide cyclase</v>
      </c>
      <c r="O3" t="str">
        <f>VLOOKUP(aggregated_results!B3,representatives_list!A:E,5,FALSE)</f>
        <v>ABG(–)</v>
      </c>
      <c r="P3" t="str">
        <f>VLOOKUP(aggregated_results!B3,representatives_list!A:D,3,FALSE)</f>
        <v>PPi</v>
      </c>
      <c r="Q3" t="str">
        <f>VLOOKUP(aggregated_results!B3,representatives_list!A:D,4,FALSE)</f>
        <v>d.58.29</v>
      </c>
    </row>
    <row r="4" spans="1:18" s="20" customFormat="1" x14ac:dyDescent="0.25">
      <c r="A4" s="20" t="s">
        <v>19</v>
      </c>
      <c r="B4" s="20" t="s">
        <v>20</v>
      </c>
      <c r="C4" s="20">
        <v>8.4</v>
      </c>
      <c r="D4" s="20">
        <v>4.0999999999999996</v>
      </c>
      <c r="E4" s="20">
        <v>97</v>
      </c>
      <c r="F4" s="20">
        <v>417</v>
      </c>
      <c r="G4" s="20">
        <v>16</v>
      </c>
      <c r="I4" s="20" t="e">
        <f t="shared" si="0"/>
        <v>#N/A</v>
      </c>
      <c r="J4" s="20" t="str">
        <f>VLOOKUP(aggregated_results!A4,representatives_list!A:D,4,FALSE)</f>
        <v>N/A</v>
      </c>
      <c r="K4" s="20" t="str">
        <f>VLOOKUP(aggregated_results!A4,representatives_list!A:D,3,FALSE)</f>
        <v>PPi</v>
      </c>
      <c r="L4" s="20" t="str">
        <f>VLOOKUP(aggregated_results!A4,representatives_list!A:E,5,FALSE)</f>
        <v>N/A</v>
      </c>
      <c r="M4" s="20" t="str">
        <f>VLOOKUP(A4,representatives_list!A:B,2,FALSE)</f>
        <v>tRNA(Ile2) 2-agmatinylcytidine synthetase TiaS</v>
      </c>
      <c r="N4" s="20" t="str">
        <f>VLOOKUP(B4,representatives_list!A:B,2,FALSE)</f>
        <v>Bacterial DNA polymerase III, alpha subunit, NTPase domain</v>
      </c>
      <c r="O4" s="20" t="str">
        <f>VLOOKUP(aggregated_results!B4,representatives_list!A:E,5,FALSE)</f>
        <v>ABG(–)</v>
      </c>
      <c r="P4" s="20" t="str">
        <f>VLOOKUP(aggregated_results!B4,representatives_list!A:D,3,FALSE)</f>
        <v>PPi</v>
      </c>
      <c r="Q4" s="20" t="str">
        <f>VLOOKUP(aggregated_results!B4,representatives_list!A:D,4,FALSE)</f>
        <v>N/A</v>
      </c>
      <c r="R4" s="20" t="s">
        <v>293</v>
      </c>
    </row>
    <row r="5" spans="1:18" x14ac:dyDescent="0.25">
      <c r="A5" t="s">
        <v>21</v>
      </c>
      <c r="B5" t="s">
        <v>22</v>
      </c>
      <c r="C5">
        <v>8.1</v>
      </c>
      <c r="D5">
        <v>4.8</v>
      </c>
      <c r="E5">
        <v>213</v>
      </c>
      <c r="F5">
        <v>753</v>
      </c>
      <c r="G5">
        <v>9</v>
      </c>
      <c r="I5" t="str">
        <f t="shared" si="0"/>
        <v/>
      </c>
      <c r="J5" t="str">
        <f>VLOOKUP(aggregated_results!A5,representatives_list!A:D,4,FALSE)</f>
        <v>d.115.1</v>
      </c>
      <c r="K5" t="str">
        <f>VLOOKUP(aggregated_results!A5,representatives_list!A:D,3,FALSE)</f>
        <v>PPi</v>
      </c>
      <c r="L5" t="str">
        <f>VLOOKUP(aggregated_results!A5,representatives_list!A:E,5,FALSE)</f>
        <v>ABG(–)</v>
      </c>
      <c r="M5" t="str">
        <f>VLOOKUP(A5,representatives_list!A:B,2,FALSE)</f>
        <v>YrdC/RibB</v>
      </c>
      <c r="N5" t="str">
        <f>VLOOKUP(B5,representatives_list!A:B,2,FALSE)</f>
        <v>Actin-like ATPase domain</v>
      </c>
      <c r="O5" t="str">
        <f>VLOOKUP(aggregated_results!B5,representatives_list!A:E,5,FALSE)</f>
        <v>BG(+)</v>
      </c>
      <c r="P5" t="str">
        <f>VLOOKUP(aggregated_results!B5,representatives_list!A:D,3,FALSE)</f>
        <v>Pi</v>
      </c>
      <c r="Q5" t="str">
        <f>VLOOKUP(aggregated_results!B5,representatives_list!A:D,4,FALSE)</f>
        <v>c.55.1</v>
      </c>
      <c r="R5" t="s">
        <v>294</v>
      </c>
    </row>
    <row r="6" spans="1:18" x14ac:dyDescent="0.25">
      <c r="A6" t="s">
        <v>23</v>
      </c>
      <c r="B6" t="s">
        <v>24</v>
      </c>
      <c r="C6">
        <v>7.9</v>
      </c>
      <c r="D6">
        <v>3.6</v>
      </c>
      <c r="E6">
        <v>145</v>
      </c>
      <c r="F6">
        <v>307</v>
      </c>
      <c r="G6">
        <v>12</v>
      </c>
      <c r="I6" t="str">
        <f t="shared" si="0"/>
        <v>x</v>
      </c>
      <c r="J6" t="str">
        <f>VLOOKUP(aggregated_results!A6,representatives_list!A:D,4,FALSE)</f>
        <v>c.72.2</v>
      </c>
      <c r="K6" t="str">
        <f>VLOOKUP(aggregated_results!A6,representatives_list!A:D,3,FALSE)</f>
        <v>Pi</v>
      </c>
      <c r="L6" t="str">
        <f>VLOOKUP(aggregated_results!A6,representatives_list!A:E,5,FALSE)</f>
        <v>BG(–)</v>
      </c>
      <c r="M6" t="str">
        <f>VLOOKUP(A6,representatives_list!A:B,2,FALSE)</f>
        <v>MurD-like peptide ligases, catalytic domain</v>
      </c>
      <c r="N6" t="str">
        <f>VLOOKUP(B6,representatives_list!A:B,2,FALSE)</f>
        <v>Ribokinase-like</v>
      </c>
      <c r="O6" t="str">
        <f>VLOOKUP(aggregated_results!B6,representatives_list!A:E,5,FALSE)</f>
        <v>BG(–)</v>
      </c>
      <c r="P6" t="str">
        <f>VLOOKUP(aggregated_results!B6,representatives_list!A:D,3,FALSE)</f>
        <v>Pi</v>
      </c>
      <c r="Q6" t="str">
        <f>VLOOKUP(aggregated_results!B6,representatives_list!A:D,4,FALSE)</f>
        <v>c.72.1</v>
      </c>
      <c r="R6" t="s">
        <v>295</v>
      </c>
    </row>
    <row r="7" spans="1:18" x14ac:dyDescent="0.25">
      <c r="A7" t="s">
        <v>25</v>
      </c>
      <c r="B7" t="s">
        <v>26</v>
      </c>
      <c r="C7">
        <v>7.7</v>
      </c>
      <c r="D7">
        <v>3.3</v>
      </c>
      <c r="E7">
        <v>80</v>
      </c>
      <c r="F7">
        <v>469</v>
      </c>
      <c r="G7">
        <v>19</v>
      </c>
      <c r="I7" t="str">
        <f t="shared" si="0"/>
        <v/>
      </c>
      <c r="J7" t="str">
        <f>VLOOKUP(aggregated_results!A7,representatives_list!A:D,4,FALSE)</f>
        <v>c.73.1</v>
      </c>
      <c r="K7" t="str">
        <f>VLOOKUP(aggregated_results!A7,representatives_list!A:D,3,FALSE)</f>
        <v>Pi</v>
      </c>
      <c r="L7" t="str">
        <f>VLOOKUP(aggregated_results!A7,representatives_list!A:E,5,FALSE)</f>
        <v>ABG(+)</v>
      </c>
      <c r="M7" t="str">
        <f>VLOOKUP(A7,representatives_list!A:B,2,FALSE)</f>
        <v>Carbamate kinase-like</v>
      </c>
      <c r="N7" t="str">
        <f>VLOOKUP(B7,representatives_list!A:B,2,FALSE)</f>
        <v>GlnB-like</v>
      </c>
      <c r="O7" t="str">
        <f>VLOOKUP(aggregated_results!B7,representatives_list!A:E,5,FALSE)</f>
        <v>ABG(–)</v>
      </c>
      <c r="P7" t="str">
        <f>VLOOKUP(aggregated_results!B7,representatives_list!A:D,3,FALSE)</f>
        <v>Pi</v>
      </c>
      <c r="Q7" t="str">
        <f>VLOOKUP(aggregated_results!B7,representatives_list!A:D,4,FALSE)</f>
        <v>d.58.5</v>
      </c>
      <c r="R7" t="s">
        <v>296</v>
      </c>
    </row>
    <row r="8" spans="1:18" x14ac:dyDescent="0.25">
      <c r="A8" t="s">
        <v>27</v>
      </c>
      <c r="B8" t="s">
        <v>24</v>
      </c>
      <c r="C8">
        <v>7.3</v>
      </c>
      <c r="D8">
        <v>3.8</v>
      </c>
      <c r="E8">
        <v>152</v>
      </c>
      <c r="F8">
        <v>304</v>
      </c>
      <c r="G8">
        <v>9</v>
      </c>
      <c r="I8" t="str">
        <f t="shared" si="0"/>
        <v>x</v>
      </c>
      <c r="J8" t="str">
        <f>VLOOKUP(aggregated_results!A8,representatives_list!A:D,4,FALSE)</f>
        <v>c.72.3</v>
      </c>
      <c r="K8" t="str">
        <f>VLOOKUP(aggregated_results!A8,representatives_list!A:D,3,FALSE)</f>
        <v>PPi</v>
      </c>
      <c r="L8" t="str">
        <f>VLOOKUP(aggregated_results!A8,representatives_list!A:E,5,FALSE)</f>
        <v>ABG(–)</v>
      </c>
      <c r="M8" t="str">
        <f>VLOOKUP(A8,representatives_list!A:B,2,FALSE)</f>
        <v>CoaB-like</v>
      </c>
      <c r="N8" t="str">
        <f>VLOOKUP(B8,representatives_list!A:B,2,FALSE)</f>
        <v>Ribokinase-like</v>
      </c>
      <c r="O8" t="str">
        <f>VLOOKUP(aggregated_results!B8,representatives_list!A:E,5,FALSE)</f>
        <v>BG(–)</v>
      </c>
      <c r="P8" t="str">
        <f>VLOOKUP(aggregated_results!B8,representatives_list!A:D,3,FALSE)</f>
        <v>Pi</v>
      </c>
      <c r="Q8" t="str">
        <f>VLOOKUP(aggregated_results!B8,representatives_list!A:D,4,FALSE)</f>
        <v>c.72.1</v>
      </c>
      <c r="R8" s="19" t="s">
        <v>297</v>
      </c>
    </row>
    <row r="9" spans="1:18" x14ac:dyDescent="0.25">
      <c r="A9" t="s">
        <v>28</v>
      </c>
      <c r="B9" t="s">
        <v>24</v>
      </c>
      <c r="C9">
        <v>7.3</v>
      </c>
      <c r="D9">
        <v>3.8</v>
      </c>
      <c r="E9">
        <v>135</v>
      </c>
      <c r="F9">
        <v>301</v>
      </c>
      <c r="G9">
        <v>14</v>
      </c>
      <c r="I9" t="str">
        <f t="shared" si="0"/>
        <v/>
      </c>
      <c r="J9" t="str">
        <f>VLOOKUP(aggregated_results!A9,representatives_list!A:D,4,FALSE)</f>
        <v>c.111.1</v>
      </c>
      <c r="K9" t="str">
        <f>VLOOKUP(aggregated_results!A9,representatives_list!A:D,3,FALSE)</f>
        <v>PPi</v>
      </c>
      <c r="L9" t="str">
        <f>VLOOKUP(aggregated_results!A9,representatives_list!A:E,5,FALSE)</f>
        <v>ABG(+)</v>
      </c>
      <c r="M9" t="str">
        <f>VLOOKUP(A9,representatives_list!A:B,2,FALSE)</f>
        <v>Activating enzymes of the ubiquitin-like proteins</v>
      </c>
      <c r="N9" t="str">
        <f>VLOOKUP(B9,representatives_list!A:B,2,FALSE)</f>
        <v>Ribokinase-like</v>
      </c>
      <c r="O9" t="str">
        <f>VLOOKUP(aggregated_results!B9,representatives_list!A:E,5,FALSE)</f>
        <v>BG(–)</v>
      </c>
      <c r="P9" t="str">
        <f>VLOOKUP(aggregated_results!B9,representatives_list!A:D,3,FALSE)</f>
        <v>Pi</v>
      </c>
      <c r="Q9" t="str">
        <f>VLOOKUP(aggregated_results!B9,representatives_list!A:D,4,FALSE)</f>
        <v>c.72.1</v>
      </c>
      <c r="R9" s="19" t="s">
        <v>297</v>
      </c>
    </row>
    <row r="10" spans="1:18" x14ac:dyDescent="0.25">
      <c r="A10" t="s">
        <v>29</v>
      </c>
      <c r="B10" t="s">
        <v>30</v>
      </c>
      <c r="C10">
        <v>7.1</v>
      </c>
      <c r="D10">
        <v>3.8</v>
      </c>
      <c r="E10">
        <v>100</v>
      </c>
      <c r="F10">
        <v>309</v>
      </c>
      <c r="G10">
        <v>14</v>
      </c>
      <c r="I10" t="str">
        <f t="shared" si="0"/>
        <v/>
      </c>
      <c r="J10" t="str">
        <f>VLOOKUP(aggregated_results!A10,representatives_list!A:D,4,FALSE)</f>
        <v>c.61.1</v>
      </c>
      <c r="K10" t="str">
        <f>VLOOKUP(aggregated_results!A10,representatives_list!A:D,3,FALSE)</f>
        <v>PPi</v>
      </c>
      <c r="L10" t="str">
        <f>VLOOKUP(aggregated_results!A10,representatives_list!A:E,5,FALSE)</f>
        <v>ABG(+)</v>
      </c>
      <c r="M10" t="str">
        <f>VLOOKUP(A10,representatives_list!A:B,2,FALSE)</f>
        <v>PRTase-like</v>
      </c>
      <c r="N10" t="str">
        <f>VLOOKUP(B10,representatives_list!A:B,2,FALSE)</f>
        <v>Glycerate kinase I</v>
      </c>
      <c r="O10" t="str">
        <f>VLOOKUP(aggregated_results!B10,representatives_list!A:E,5,FALSE)</f>
        <v>N/A</v>
      </c>
      <c r="P10" t="str">
        <f>VLOOKUP(aggregated_results!B10,representatives_list!A:D,3,FALSE)</f>
        <v>Pi</v>
      </c>
      <c r="Q10" t="str">
        <f>VLOOKUP(aggregated_results!B10,representatives_list!A:D,4,FALSE)</f>
        <v>c.141.1</v>
      </c>
      <c r="R10" t="s">
        <v>298</v>
      </c>
    </row>
    <row r="11" spans="1:18" x14ac:dyDescent="0.25">
      <c r="A11" t="s">
        <v>31</v>
      </c>
      <c r="B11" t="s">
        <v>26</v>
      </c>
      <c r="C11">
        <v>7</v>
      </c>
      <c r="D11">
        <v>2.6</v>
      </c>
      <c r="E11">
        <v>72</v>
      </c>
      <c r="F11">
        <v>516</v>
      </c>
      <c r="G11">
        <v>14</v>
      </c>
      <c r="I11" t="str">
        <f t="shared" si="0"/>
        <v>x</v>
      </c>
      <c r="J11" t="str">
        <f>VLOOKUP(aggregated_results!A11,representatives_list!A:D,4,FALSE)</f>
        <v>d.58.26</v>
      </c>
      <c r="K11" t="str">
        <f>VLOOKUP(aggregated_results!A11,representatives_list!A:D,3,FALSE)</f>
        <v>Pi</v>
      </c>
      <c r="L11" t="str">
        <f>VLOOKUP(aggregated_results!A11,representatives_list!A:E,5,FALSE)</f>
        <v>ABG(+)</v>
      </c>
      <c r="M11" t="str">
        <f>VLOOKUP(A11,representatives_list!A:B,2,FALSE)</f>
        <v>GHMP Kinase, C-terminal domain</v>
      </c>
      <c r="N11" t="str">
        <f>VLOOKUP(B11,representatives_list!A:B,2,FALSE)</f>
        <v>GlnB-like</v>
      </c>
      <c r="O11" t="str">
        <f>VLOOKUP(aggregated_results!B11,representatives_list!A:E,5,FALSE)</f>
        <v>ABG(–)</v>
      </c>
      <c r="P11" t="str">
        <f>VLOOKUP(aggregated_results!B11,representatives_list!A:D,3,FALSE)</f>
        <v>Pi</v>
      </c>
      <c r="Q11" t="str">
        <f>VLOOKUP(aggregated_results!B11,representatives_list!A:D,4,FALSE)</f>
        <v>d.58.5</v>
      </c>
      <c r="R11" t="s">
        <v>299</v>
      </c>
    </row>
    <row r="12" spans="1:18" s="20" customFormat="1" x14ac:dyDescent="0.25">
      <c r="A12" s="20" t="s">
        <v>20</v>
      </c>
      <c r="B12" s="20" t="s">
        <v>32</v>
      </c>
      <c r="C12" s="20">
        <v>7</v>
      </c>
      <c r="D12" s="20">
        <v>3.9</v>
      </c>
      <c r="E12" s="20">
        <v>166</v>
      </c>
      <c r="F12" s="20">
        <v>994</v>
      </c>
      <c r="G12" s="20">
        <v>8</v>
      </c>
      <c r="I12" s="20" t="e">
        <f t="shared" si="0"/>
        <v>#N/A</v>
      </c>
      <c r="J12" s="20" t="str">
        <f>VLOOKUP(aggregated_results!A12,representatives_list!A:D,4,FALSE)</f>
        <v>N/A</v>
      </c>
      <c r="K12" s="20" t="str">
        <f>VLOOKUP(aggregated_results!A12,representatives_list!A:D,3,FALSE)</f>
        <v>PPi</v>
      </c>
      <c r="L12" s="20" t="str">
        <f>VLOOKUP(aggregated_results!A12,representatives_list!A:E,5,FALSE)</f>
        <v>ABG(–)</v>
      </c>
      <c r="M12" s="20" t="str">
        <f>VLOOKUP(A12,representatives_list!A:B,2,FALSE)</f>
        <v>Bacterial DNA polymerase III, alpha subunit, NTPase domain</v>
      </c>
      <c r="N12" s="20" t="str">
        <f>VLOOKUP(B12,representatives_list!A:B,2,FALSE)</f>
        <v>Phosphoenolpyruvate/pyruvate domain</v>
      </c>
      <c r="O12" s="20" t="str">
        <f>VLOOKUP(aggregated_results!B12,representatives_list!A:E,5,FALSE)</f>
        <v>ABG(–)</v>
      </c>
      <c r="P12" s="20" t="str">
        <f>VLOOKUP(aggregated_results!B12,representatives_list!A:D,3,FALSE)</f>
        <v>Pi</v>
      </c>
      <c r="Q12" s="20" t="str">
        <f>VLOOKUP(aggregated_results!B12,representatives_list!A:D,4,FALSE)</f>
        <v>c.1.12</v>
      </c>
      <c r="R12" s="20" t="s">
        <v>300</v>
      </c>
    </row>
    <row r="13" spans="1:18" x14ac:dyDescent="0.25">
      <c r="A13" t="s">
        <v>33</v>
      </c>
      <c r="B13" t="s">
        <v>23</v>
      </c>
      <c r="C13">
        <v>6.9</v>
      </c>
      <c r="D13">
        <v>6</v>
      </c>
      <c r="E13">
        <v>102</v>
      </c>
      <c r="F13">
        <v>530</v>
      </c>
      <c r="G13">
        <v>16</v>
      </c>
      <c r="I13" t="str">
        <f t="shared" si="0"/>
        <v/>
      </c>
      <c r="J13" t="str">
        <f>VLOOKUP(aggregated_results!A13,representatives_list!A:D,4,FALSE)</f>
        <v>e.23.1</v>
      </c>
      <c r="K13" t="str">
        <f>VLOOKUP(aggregated_results!A13,representatives_list!A:D,3,FALSE)</f>
        <v>PPi</v>
      </c>
      <c r="L13" t="str">
        <f>VLOOKUP(aggregated_results!A13,representatives_list!A:E,5,FALSE)</f>
        <v>BG(+)</v>
      </c>
      <c r="M13" t="str">
        <f>VLOOKUP(A13,representatives_list!A:B,2,FALSE)</f>
        <v>Acetyl-CoA synthetase-like</v>
      </c>
      <c r="N13" t="str">
        <f>VLOOKUP(B13,representatives_list!A:B,2,FALSE)</f>
        <v>MurD-like peptide ligases, catalytic domain</v>
      </c>
      <c r="O13" t="str">
        <f>VLOOKUP(aggregated_results!B13,representatives_list!A:E,5,FALSE)</f>
        <v>BG(–)</v>
      </c>
      <c r="P13" t="str">
        <f>VLOOKUP(aggregated_results!B13,representatives_list!A:D,3,FALSE)</f>
        <v>Pi</v>
      </c>
      <c r="Q13" t="str">
        <f>VLOOKUP(aggregated_results!B13,representatives_list!A:D,4,FALSE)</f>
        <v>c.72.2</v>
      </c>
      <c r="R13" t="s">
        <v>300</v>
      </c>
    </row>
    <row r="14" spans="1:18" x14ac:dyDescent="0.25">
      <c r="A14" t="s">
        <v>24</v>
      </c>
      <c r="B14" t="s">
        <v>34</v>
      </c>
      <c r="C14">
        <v>6.9</v>
      </c>
      <c r="D14">
        <v>3.8</v>
      </c>
      <c r="E14">
        <v>172</v>
      </c>
      <c r="F14">
        <v>315</v>
      </c>
      <c r="G14">
        <v>7</v>
      </c>
      <c r="I14" t="str">
        <f t="shared" si="0"/>
        <v/>
      </c>
      <c r="J14" t="str">
        <f>VLOOKUP(aggregated_results!A14,representatives_list!A:D,4,FALSE)</f>
        <v>c.72.1</v>
      </c>
      <c r="K14" t="str">
        <f>VLOOKUP(aggregated_results!A14,representatives_list!A:D,3,FALSE)</f>
        <v>Pi</v>
      </c>
      <c r="L14" t="str">
        <f>VLOOKUP(aggregated_results!A14,representatives_list!A:E,5,FALSE)</f>
        <v>BG(–)</v>
      </c>
      <c r="M14" t="str">
        <f>VLOOKUP(A14,representatives_list!A:B,2,FALSE)</f>
        <v>Ribokinase-like</v>
      </c>
      <c r="N14" t="str">
        <f>VLOOKUP(B14,representatives_list!A:B,2,FALSE)</f>
        <v>Tubulin nucleotide-binding domain-like</v>
      </c>
      <c r="O14" t="str">
        <f>VLOOKUP(aggregated_results!B14,representatives_list!A:E,5,FALSE)</f>
        <v>BG(–)</v>
      </c>
      <c r="P14" t="str">
        <f>VLOOKUP(aggregated_results!B14,representatives_list!A:D,3,FALSE)</f>
        <v>Pi</v>
      </c>
      <c r="Q14" t="str">
        <f>VLOOKUP(aggregated_results!B14,representatives_list!A:D,4,FALSE)</f>
        <v>c.32.1</v>
      </c>
    </row>
    <row r="15" spans="1:18" x14ac:dyDescent="0.25">
      <c r="A15" t="s">
        <v>24</v>
      </c>
      <c r="B15" t="s">
        <v>35</v>
      </c>
      <c r="C15">
        <v>6.9</v>
      </c>
      <c r="D15">
        <v>3.6</v>
      </c>
      <c r="E15">
        <v>145</v>
      </c>
      <c r="F15">
        <v>315</v>
      </c>
      <c r="G15">
        <v>9</v>
      </c>
      <c r="I15" t="str">
        <f t="shared" si="0"/>
        <v/>
      </c>
      <c r="J15" t="str">
        <f>VLOOKUP(aggregated_results!A15,representatives_list!A:D,4,FALSE)</f>
        <v>c.72.1</v>
      </c>
      <c r="K15" t="str">
        <f>VLOOKUP(aggregated_results!A15,representatives_list!A:D,3,FALSE)</f>
        <v>Pi</v>
      </c>
      <c r="L15" t="str">
        <f>VLOOKUP(aggregated_results!A15,representatives_list!A:E,5,FALSE)</f>
        <v>BG(–)</v>
      </c>
      <c r="M15" t="str">
        <f>VLOOKUP(A15,representatives_list!A:B,2,FALSE)</f>
        <v>Ribokinase-like</v>
      </c>
      <c r="N15" t="str">
        <f>VLOOKUP(B15,representatives_list!A:B,2,FALSE)</f>
        <v>Phosphoglycerate kinase</v>
      </c>
      <c r="O15" t="str">
        <f>VLOOKUP(aggregated_results!B15,representatives_list!A:E,5,FALSE)</f>
        <v>ABG(–)</v>
      </c>
      <c r="P15" t="str">
        <f>VLOOKUP(aggregated_results!B15,representatives_list!A:D,3,FALSE)</f>
        <v>Pi</v>
      </c>
      <c r="Q15" t="str">
        <f>VLOOKUP(aggregated_results!B15,representatives_list!A:D,4,FALSE)</f>
        <v>c.86.1</v>
      </c>
    </row>
    <row r="16" spans="1:18" x14ac:dyDescent="0.25">
      <c r="A16" t="s">
        <v>30</v>
      </c>
      <c r="B16" t="s">
        <v>36</v>
      </c>
      <c r="C16">
        <v>6.6</v>
      </c>
      <c r="D16">
        <v>2.8</v>
      </c>
      <c r="E16">
        <v>104</v>
      </c>
      <c r="F16">
        <v>371</v>
      </c>
      <c r="G16">
        <v>10</v>
      </c>
      <c r="I16" t="str">
        <f t="shared" si="0"/>
        <v/>
      </c>
      <c r="J16" t="str">
        <f>VLOOKUP(aggregated_results!A16,representatives_list!A:D,4,FALSE)</f>
        <v>c.141.1</v>
      </c>
      <c r="K16" t="str">
        <f>VLOOKUP(aggregated_results!A16,representatives_list!A:D,3,FALSE)</f>
        <v>Pi</v>
      </c>
      <c r="L16" t="str">
        <f>VLOOKUP(aggregated_results!A16,representatives_list!A:E,5,FALSE)</f>
        <v>N/A</v>
      </c>
      <c r="M16" t="str">
        <f>VLOOKUP(A16,representatives_list!A:B,2,FALSE)</f>
        <v>Glycerate kinase I</v>
      </c>
      <c r="N16" t="str">
        <f>VLOOKUP(B16,representatives_list!A:B,2,FALSE)</f>
        <v>P-loop containing nucleoside triphosphate hydrolases</v>
      </c>
      <c r="O16" t="str">
        <f>VLOOKUP(aggregated_results!B16,representatives_list!A:E,5,FALSE)</f>
        <v>BG(–)</v>
      </c>
      <c r="P16" t="str">
        <f>VLOOKUP(aggregated_results!B16,representatives_list!A:D,3,FALSE)</f>
        <v>Pi</v>
      </c>
      <c r="Q16" t="str">
        <f>VLOOKUP(aggregated_results!B16,representatives_list!A:D,4,FALSE)</f>
        <v>c.37.1</v>
      </c>
    </row>
    <row r="17" spans="1:18" x14ac:dyDescent="0.25">
      <c r="A17" t="s">
        <v>28</v>
      </c>
      <c r="B17" t="s">
        <v>37</v>
      </c>
      <c r="C17">
        <v>6.4</v>
      </c>
      <c r="D17">
        <v>14.3</v>
      </c>
      <c r="E17">
        <v>147</v>
      </c>
      <c r="F17">
        <v>301</v>
      </c>
      <c r="G17">
        <v>7</v>
      </c>
      <c r="I17" t="str">
        <f t="shared" si="0"/>
        <v/>
      </c>
      <c r="J17" t="str">
        <f>VLOOKUP(aggregated_results!A17,representatives_list!A:D,4,FALSE)</f>
        <v>c.111.1</v>
      </c>
      <c r="K17" t="str">
        <f>VLOOKUP(aggregated_results!A17,representatives_list!A:D,3,FALSE)</f>
        <v>PPi</v>
      </c>
      <c r="L17" t="str">
        <f>VLOOKUP(aggregated_results!A17,representatives_list!A:E,5,FALSE)</f>
        <v>ABG(+)</v>
      </c>
      <c r="M17" t="str">
        <f>VLOOKUP(A17,representatives_list!A:B,2,FALSE)</f>
        <v>Activating enzymes of the ubiquitin-like proteins</v>
      </c>
      <c r="N17" t="str">
        <f>VLOOKUP(B17,representatives_list!A:B,2,FALSE)</f>
        <v>Phosphofructokinase</v>
      </c>
      <c r="O17" t="str">
        <f>VLOOKUP(aggregated_results!B17,representatives_list!A:E,5,FALSE)</f>
        <v>ABG(–)</v>
      </c>
      <c r="P17" t="str">
        <f>VLOOKUP(aggregated_results!B17,representatives_list!A:D,3,FALSE)</f>
        <v>Pi</v>
      </c>
      <c r="Q17" t="str">
        <f>VLOOKUP(aggregated_results!B17,representatives_list!A:D,4,FALSE)</f>
        <v>c.89.1</v>
      </c>
    </row>
    <row r="18" spans="1:18" x14ac:dyDescent="0.25">
      <c r="A18" t="s">
        <v>29</v>
      </c>
      <c r="B18" t="s">
        <v>34</v>
      </c>
      <c r="C18">
        <v>6.2</v>
      </c>
      <c r="D18">
        <v>3.7</v>
      </c>
      <c r="E18">
        <v>145</v>
      </c>
      <c r="F18">
        <v>309</v>
      </c>
      <c r="G18">
        <v>5</v>
      </c>
      <c r="I18" t="str">
        <f t="shared" si="0"/>
        <v/>
      </c>
      <c r="J18" t="str">
        <f>VLOOKUP(aggregated_results!A18,representatives_list!A:D,4,FALSE)</f>
        <v>c.61.1</v>
      </c>
      <c r="K18" t="str">
        <f>VLOOKUP(aggregated_results!A18,representatives_list!A:D,3,FALSE)</f>
        <v>PPi</v>
      </c>
      <c r="L18" t="str">
        <f>VLOOKUP(aggregated_results!A18,representatives_list!A:E,5,FALSE)</f>
        <v>ABG(+)</v>
      </c>
      <c r="M18" t="str">
        <f>VLOOKUP(A18,representatives_list!A:B,2,FALSE)</f>
        <v>PRTase-like</v>
      </c>
      <c r="N18" t="str">
        <f>VLOOKUP(B18,representatives_list!A:B,2,FALSE)</f>
        <v>Tubulin nucleotide-binding domain-like</v>
      </c>
      <c r="O18" t="str">
        <f>VLOOKUP(aggregated_results!B18,representatives_list!A:E,5,FALSE)</f>
        <v>BG(–)</v>
      </c>
      <c r="P18" t="str">
        <f>VLOOKUP(aggregated_results!B18,representatives_list!A:D,3,FALSE)</f>
        <v>Pi</v>
      </c>
      <c r="Q18" t="str">
        <f>VLOOKUP(aggregated_results!B18,representatives_list!A:D,4,FALSE)</f>
        <v>c.32.1</v>
      </c>
    </row>
    <row r="19" spans="1:18" x14ac:dyDescent="0.25">
      <c r="A19" t="s">
        <v>38</v>
      </c>
      <c r="B19" t="s">
        <v>39</v>
      </c>
      <c r="C19">
        <v>6.2</v>
      </c>
      <c r="D19">
        <v>14.1</v>
      </c>
      <c r="E19">
        <v>105</v>
      </c>
      <c r="F19">
        <v>349</v>
      </c>
      <c r="G19">
        <v>8</v>
      </c>
      <c r="I19" t="str">
        <f t="shared" si="0"/>
        <v/>
      </c>
      <c r="J19" t="str">
        <f>VLOOKUP(aggregated_results!A19,representatives_list!A:D,4,FALSE)</f>
        <v>d.320.1</v>
      </c>
      <c r="K19" t="str">
        <f>VLOOKUP(aggregated_results!A19,representatives_list!A:D,3,FALSE)</f>
        <v>PPi</v>
      </c>
      <c r="L19" t="str">
        <f>VLOOKUP(aggregated_results!A19,representatives_list!A:E,5,FALSE)</f>
        <v>ABG(–)</v>
      </c>
      <c r="M19" t="str">
        <f>VLOOKUP(A19,representatives_list!A:B,2,FALSE)</f>
        <v>YojJ-like</v>
      </c>
      <c r="N19" t="str">
        <f>VLOOKUP(B19,representatives_list!A:B,2,FALSE)</f>
        <v>Adenylylcyclase toxin (the edema factor)</v>
      </c>
      <c r="O19" t="str">
        <f>VLOOKUP(aggregated_results!B19,representatives_list!A:E,5,FALSE)</f>
        <v>AB(–)</v>
      </c>
      <c r="P19" t="str">
        <f>VLOOKUP(aggregated_results!B19,representatives_list!A:D,3,FALSE)</f>
        <v>PPi</v>
      </c>
      <c r="Q19" t="str">
        <f>VLOOKUP(aggregated_results!B19,representatives_list!A:D,4,FALSE)</f>
        <v>e.41.1</v>
      </c>
    </row>
    <row r="20" spans="1:18" x14ac:dyDescent="0.25">
      <c r="A20" t="s">
        <v>40</v>
      </c>
      <c r="B20" t="s">
        <v>41</v>
      </c>
      <c r="C20">
        <v>6.2</v>
      </c>
      <c r="D20">
        <v>3.4</v>
      </c>
      <c r="E20">
        <v>103</v>
      </c>
      <c r="F20">
        <v>193</v>
      </c>
      <c r="G20">
        <v>14</v>
      </c>
      <c r="I20" t="str">
        <f t="shared" si="0"/>
        <v/>
      </c>
      <c r="J20" t="str">
        <f>VLOOKUP(aggregated_results!A20,representatives_list!A:D,4,FALSE)</f>
        <v>c.51.4</v>
      </c>
      <c r="K20" t="str">
        <f>VLOOKUP(aggregated_results!A20,representatives_list!A:D,3,FALSE)</f>
        <v>PPi</v>
      </c>
      <c r="L20" t="str">
        <f>VLOOKUP(aggregated_results!A20,representatives_list!A:E,5,FALSE)</f>
        <v>ABG(–)</v>
      </c>
      <c r="M20" t="str">
        <f>VLOOKUP(A20,representatives_list!A:B,2,FALSE)</f>
        <v>ITPase-like</v>
      </c>
      <c r="N20" t="str">
        <f>VLOOKUP(B20,representatives_list!A:B,2,FALSE)</f>
        <v>Molybdenum cofactor biosynthesis proteins</v>
      </c>
      <c r="O20" t="str">
        <f>VLOOKUP(aggregated_results!B20,representatives_list!A:E,5,FALSE)</f>
        <v>ABG(–)</v>
      </c>
      <c r="P20" t="str">
        <f>VLOOKUP(aggregated_results!B20,representatives_list!A:D,3,FALSE)</f>
        <v>Pi</v>
      </c>
      <c r="Q20" t="str">
        <f>VLOOKUP(aggregated_results!B20,representatives_list!A:D,4,FALSE)</f>
        <v>c.57.1</v>
      </c>
    </row>
    <row r="21" spans="1:18" x14ac:dyDescent="0.25">
      <c r="A21" t="s">
        <v>30</v>
      </c>
      <c r="B21" t="s">
        <v>42</v>
      </c>
      <c r="C21">
        <v>6.2</v>
      </c>
      <c r="D21">
        <v>2.5</v>
      </c>
      <c r="E21">
        <v>90</v>
      </c>
      <c r="F21">
        <v>371</v>
      </c>
      <c r="G21">
        <v>12</v>
      </c>
      <c r="I21" t="str">
        <f t="shared" si="0"/>
        <v/>
      </c>
      <c r="J21" t="str">
        <f>VLOOKUP(aggregated_results!A21,representatives_list!A:D,4,FALSE)</f>
        <v>c.141.1</v>
      </c>
      <c r="K21" t="str">
        <f>VLOOKUP(aggregated_results!A21,representatives_list!A:D,3,FALSE)</f>
        <v>Pi</v>
      </c>
      <c r="L21" t="str">
        <f>VLOOKUP(aggregated_results!A21,representatives_list!A:E,5,FALSE)</f>
        <v>N/A</v>
      </c>
      <c r="M21" t="str">
        <f>VLOOKUP(A21,representatives_list!A:B,2,FALSE)</f>
        <v>Glycerate kinase I</v>
      </c>
      <c r="N21" t="str">
        <f>VLOOKUP(B21,representatives_list!A:B,2,FALSE)</f>
        <v>NAD kinase/diacylglycerol kinase-like</v>
      </c>
      <c r="O21" t="str">
        <f>VLOOKUP(aggregated_results!B21,representatives_list!A:E,5,FALSE)</f>
        <v>ABG(+)</v>
      </c>
      <c r="P21" t="str">
        <f>VLOOKUP(aggregated_results!B21,representatives_list!A:D,3,FALSE)</f>
        <v>Pi</v>
      </c>
      <c r="Q21" t="str">
        <f>VLOOKUP(aggregated_results!B21,representatives_list!A:D,4,FALSE)</f>
        <v>e.52.1</v>
      </c>
    </row>
    <row r="22" spans="1:18" x14ac:dyDescent="0.25">
      <c r="A22" t="s">
        <v>43</v>
      </c>
      <c r="B22" t="s">
        <v>32</v>
      </c>
      <c r="C22">
        <v>6.1</v>
      </c>
      <c r="D22">
        <v>6</v>
      </c>
      <c r="E22">
        <v>169</v>
      </c>
      <c r="F22">
        <v>389</v>
      </c>
      <c r="G22">
        <v>9</v>
      </c>
      <c r="I22" t="str">
        <f t="shared" si="0"/>
        <v>x</v>
      </c>
      <c r="J22" t="str">
        <f>VLOOKUP(aggregated_results!A22,representatives_list!A:D,4,FALSE)</f>
        <v>c.1.17</v>
      </c>
      <c r="K22" t="str">
        <f>VLOOKUP(aggregated_results!A22,representatives_list!A:D,3,FALSE)</f>
        <v>Pi</v>
      </c>
      <c r="L22" t="str">
        <f>VLOOKUP(aggregated_results!A22,representatives_list!A:E,5,FALSE)</f>
        <v>N/A</v>
      </c>
      <c r="M22" s="19" t="str">
        <f>VLOOKUP(A22,representatives_list!A:B,2,FALSE)</f>
        <v>Nicotinate/Quinolinate PRTase C-terminal domain-like</v>
      </c>
      <c r="N22" s="19" t="str">
        <f>VLOOKUP(B22,representatives_list!A:B,2,FALSE)</f>
        <v>Phosphoenolpyruvate/pyruvate domain</v>
      </c>
      <c r="O22" t="str">
        <f>VLOOKUP(aggregated_results!B22,representatives_list!A:E,5,FALSE)</f>
        <v>ABG(–)</v>
      </c>
      <c r="P22" t="str">
        <f>VLOOKUP(aggregated_results!B22,representatives_list!A:D,3,FALSE)</f>
        <v>Pi</v>
      </c>
      <c r="Q22" t="str">
        <f>VLOOKUP(aggregated_results!B22,representatives_list!A:D,4,FALSE)</f>
        <v>c.1.12</v>
      </c>
    </row>
    <row r="23" spans="1:18" x14ac:dyDescent="0.25">
      <c r="A23" t="s">
        <v>28</v>
      </c>
      <c r="B23" t="s">
        <v>27</v>
      </c>
      <c r="C23">
        <v>6</v>
      </c>
      <c r="D23">
        <v>3.2</v>
      </c>
      <c r="E23">
        <v>131</v>
      </c>
      <c r="F23">
        <v>301</v>
      </c>
      <c r="G23">
        <v>11</v>
      </c>
      <c r="I23" t="str">
        <f t="shared" si="0"/>
        <v/>
      </c>
      <c r="J23" t="str">
        <f>VLOOKUP(aggregated_results!A23,representatives_list!A:D,4,FALSE)</f>
        <v>c.111.1</v>
      </c>
      <c r="K23" t="str">
        <f>VLOOKUP(aggregated_results!A23,representatives_list!A:D,3,FALSE)</f>
        <v>PPi</v>
      </c>
      <c r="L23" t="str">
        <f>VLOOKUP(aggregated_results!A23,representatives_list!A:E,5,FALSE)</f>
        <v>ABG(+)</v>
      </c>
      <c r="M23" t="str">
        <f>VLOOKUP(A23,representatives_list!A:B,2,FALSE)</f>
        <v>Activating enzymes of the ubiquitin-like proteins</v>
      </c>
      <c r="N23" t="str">
        <f>VLOOKUP(B23,representatives_list!A:B,2,FALSE)</f>
        <v>CoaB-like</v>
      </c>
      <c r="O23" t="str">
        <f>VLOOKUP(aggregated_results!B23,representatives_list!A:E,5,FALSE)</f>
        <v>ABG(–)</v>
      </c>
      <c r="P23" t="str">
        <f>VLOOKUP(aggregated_results!B23,representatives_list!A:D,3,FALSE)</f>
        <v>PPi</v>
      </c>
      <c r="Q23" t="str">
        <f>VLOOKUP(aggregated_results!B23,representatives_list!A:D,4,FALSE)</f>
        <v>c.72.3</v>
      </c>
    </row>
    <row r="24" spans="1:18" x14ac:dyDescent="0.25">
      <c r="A24" t="s">
        <v>28</v>
      </c>
      <c r="B24" t="s">
        <v>34</v>
      </c>
      <c r="C24">
        <v>6</v>
      </c>
      <c r="D24">
        <v>4</v>
      </c>
      <c r="E24">
        <v>156</v>
      </c>
      <c r="F24">
        <v>301</v>
      </c>
      <c r="G24">
        <v>11</v>
      </c>
      <c r="I24" t="str">
        <f t="shared" si="0"/>
        <v/>
      </c>
      <c r="J24" t="str">
        <f>VLOOKUP(aggregated_results!A24,representatives_list!A:D,4,FALSE)</f>
        <v>c.111.1</v>
      </c>
      <c r="K24" t="str">
        <f>VLOOKUP(aggregated_results!A24,representatives_list!A:D,3,FALSE)</f>
        <v>PPi</v>
      </c>
      <c r="L24" t="str">
        <f>VLOOKUP(aggregated_results!A24,representatives_list!A:E,5,FALSE)</f>
        <v>ABG(+)</v>
      </c>
      <c r="M24" t="str">
        <f>VLOOKUP(A24,representatives_list!A:B,2,FALSE)</f>
        <v>Activating enzymes of the ubiquitin-like proteins</v>
      </c>
      <c r="N24" t="str">
        <f>VLOOKUP(B24,representatives_list!A:B,2,FALSE)</f>
        <v>Tubulin nucleotide-binding domain-like</v>
      </c>
      <c r="O24" t="str">
        <f>VLOOKUP(aggregated_results!B24,representatives_list!A:E,5,FALSE)</f>
        <v>BG(–)</v>
      </c>
      <c r="P24" t="str">
        <f>VLOOKUP(aggregated_results!B24,representatives_list!A:D,3,FALSE)</f>
        <v>Pi</v>
      </c>
      <c r="Q24" t="str">
        <f>VLOOKUP(aggregated_results!B24,representatives_list!A:D,4,FALSE)</f>
        <v>c.32.1</v>
      </c>
    </row>
    <row r="25" spans="1:18" x14ac:dyDescent="0.25">
      <c r="A25" t="s">
        <v>28</v>
      </c>
      <c r="B25" t="s">
        <v>23</v>
      </c>
      <c r="C25">
        <v>6</v>
      </c>
      <c r="D25">
        <v>6.6</v>
      </c>
      <c r="E25">
        <v>119</v>
      </c>
      <c r="F25">
        <v>301</v>
      </c>
      <c r="G25">
        <v>15</v>
      </c>
      <c r="I25" t="str">
        <f t="shared" si="0"/>
        <v/>
      </c>
      <c r="J25" t="str">
        <f>VLOOKUP(aggregated_results!A25,representatives_list!A:D,4,FALSE)</f>
        <v>c.111.1</v>
      </c>
      <c r="K25" t="str">
        <f>VLOOKUP(aggregated_results!A25,representatives_list!A:D,3,FALSE)</f>
        <v>PPi</v>
      </c>
      <c r="L25" t="str">
        <f>VLOOKUP(aggregated_results!A25,representatives_list!A:E,5,FALSE)</f>
        <v>ABG(+)</v>
      </c>
      <c r="M25" t="str">
        <f>VLOOKUP(A25,representatives_list!A:B,2,FALSE)</f>
        <v>Activating enzymes of the ubiquitin-like proteins</v>
      </c>
      <c r="N25" t="str">
        <f>VLOOKUP(B25,representatives_list!A:B,2,FALSE)</f>
        <v>MurD-like peptide ligases, catalytic domain</v>
      </c>
      <c r="O25" t="str">
        <f>VLOOKUP(aggregated_results!B25,representatives_list!A:E,5,FALSE)</f>
        <v>BG(–)</v>
      </c>
      <c r="P25" t="str">
        <f>VLOOKUP(aggregated_results!B25,representatives_list!A:D,3,FALSE)</f>
        <v>Pi</v>
      </c>
      <c r="Q25" t="str">
        <f>VLOOKUP(aggregated_results!B25,representatives_list!A:D,4,FALSE)</f>
        <v>c.72.2</v>
      </c>
    </row>
    <row r="26" spans="1:18" x14ac:dyDescent="0.25">
      <c r="A26" t="s">
        <v>30</v>
      </c>
      <c r="B26" t="s">
        <v>24</v>
      </c>
      <c r="C26">
        <v>6</v>
      </c>
      <c r="D26">
        <v>4.0999999999999996</v>
      </c>
      <c r="E26">
        <v>127</v>
      </c>
      <c r="F26">
        <v>371</v>
      </c>
      <c r="G26">
        <v>14</v>
      </c>
      <c r="I26" t="str">
        <f t="shared" si="0"/>
        <v/>
      </c>
      <c r="J26" t="str">
        <f>VLOOKUP(aggregated_results!A26,representatives_list!A:D,4,FALSE)</f>
        <v>c.141.1</v>
      </c>
      <c r="K26" t="str">
        <f>VLOOKUP(aggregated_results!A26,representatives_list!A:D,3,FALSE)</f>
        <v>Pi</v>
      </c>
      <c r="L26" t="str">
        <f>VLOOKUP(aggregated_results!A26,representatives_list!A:E,5,FALSE)</f>
        <v>N/A</v>
      </c>
      <c r="M26" t="str">
        <f>VLOOKUP(A26,representatives_list!A:B,2,FALSE)</f>
        <v>Glycerate kinase I</v>
      </c>
      <c r="N26" t="str">
        <f>VLOOKUP(B26,representatives_list!A:B,2,FALSE)</f>
        <v>Ribokinase-like</v>
      </c>
      <c r="O26" t="str">
        <f>VLOOKUP(aggregated_results!B26,representatives_list!A:E,5,FALSE)</f>
        <v>BG(–)</v>
      </c>
      <c r="P26" t="str">
        <f>VLOOKUP(aggregated_results!B26,representatives_list!A:D,3,FALSE)</f>
        <v>Pi</v>
      </c>
      <c r="Q26" t="str">
        <f>VLOOKUP(aggregated_results!B26,representatives_list!A:D,4,FALSE)</f>
        <v>c.72.1</v>
      </c>
    </row>
    <row r="27" spans="1:18" x14ac:dyDescent="0.25">
      <c r="A27" t="s">
        <v>29</v>
      </c>
      <c r="B27" t="s">
        <v>36</v>
      </c>
      <c r="C27">
        <v>5.9</v>
      </c>
      <c r="D27">
        <v>3</v>
      </c>
      <c r="E27">
        <v>104</v>
      </c>
      <c r="F27">
        <v>309</v>
      </c>
      <c r="G27">
        <v>9</v>
      </c>
      <c r="I27" t="str">
        <f t="shared" si="0"/>
        <v/>
      </c>
      <c r="J27" t="str">
        <f>VLOOKUP(aggregated_results!A27,representatives_list!A:D,4,FALSE)</f>
        <v>c.61.1</v>
      </c>
      <c r="K27" t="str">
        <f>VLOOKUP(aggregated_results!A27,representatives_list!A:D,3,FALSE)</f>
        <v>PPi</v>
      </c>
      <c r="L27" t="str">
        <f>VLOOKUP(aggregated_results!A27,representatives_list!A:E,5,FALSE)</f>
        <v>ABG(+)</v>
      </c>
      <c r="M27" t="str">
        <f>VLOOKUP(A27,representatives_list!A:B,2,FALSE)</f>
        <v>PRTase-like</v>
      </c>
      <c r="N27" t="str">
        <f>VLOOKUP(B27,representatives_list!A:B,2,FALSE)</f>
        <v>P-loop containing nucleoside triphosphate hydrolases</v>
      </c>
      <c r="O27" t="str">
        <f>VLOOKUP(aggregated_results!B27,representatives_list!A:E,5,FALSE)</f>
        <v>BG(–)</v>
      </c>
      <c r="P27" t="str">
        <f>VLOOKUP(aggregated_results!B27,representatives_list!A:D,3,FALSE)</f>
        <v>Pi</v>
      </c>
      <c r="Q27" t="str">
        <f>VLOOKUP(aggregated_results!B27,representatives_list!A:D,4,FALSE)</f>
        <v>c.37.1</v>
      </c>
    </row>
    <row r="28" spans="1:18" x14ac:dyDescent="0.25">
      <c r="A28" t="s">
        <v>21</v>
      </c>
      <c r="B28" t="s">
        <v>26</v>
      </c>
      <c r="C28">
        <v>5.9</v>
      </c>
      <c r="D28">
        <v>3.1</v>
      </c>
      <c r="E28">
        <v>74</v>
      </c>
      <c r="F28">
        <v>753</v>
      </c>
      <c r="G28">
        <v>16</v>
      </c>
      <c r="I28" t="str">
        <f t="shared" si="0"/>
        <v/>
      </c>
      <c r="J28" t="str">
        <f>VLOOKUP(aggregated_results!A28,representatives_list!A:D,4,FALSE)</f>
        <v>d.115.1</v>
      </c>
      <c r="K28" t="str">
        <f>VLOOKUP(aggregated_results!A28,representatives_list!A:D,3,FALSE)</f>
        <v>PPi</v>
      </c>
      <c r="L28" t="str">
        <f>VLOOKUP(aggregated_results!A28,representatives_list!A:E,5,FALSE)</f>
        <v>ABG(–)</v>
      </c>
      <c r="M28" t="str">
        <f>VLOOKUP(A28,representatives_list!A:B,2,FALSE)</f>
        <v>YrdC/RibB</v>
      </c>
      <c r="N28" t="str">
        <f>VLOOKUP(B28,representatives_list!A:B,2,FALSE)</f>
        <v>GlnB-like</v>
      </c>
      <c r="O28" t="str">
        <f>VLOOKUP(aggregated_results!B28,representatives_list!A:E,5,FALSE)</f>
        <v>ABG(–)</v>
      </c>
      <c r="P28" t="str">
        <f>VLOOKUP(aggregated_results!B28,representatives_list!A:D,3,FALSE)</f>
        <v>Pi</v>
      </c>
      <c r="Q28" t="str">
        <f>VLOOKUP(aggregated_results!B28,representatives_list!A:D,4,FALSE)</f>
        <v>d.58.5</v>
      </c>
    </row>
    <row r="29" spans="1:18" s="19" customFormat="1" x14ac:dyDescent="0.25">
      <c r="A29" s="19" t="s">
        <v>44</v>
      </c>
      <c r="B29" s="19" t="s">
        <v>45</v>
      </c>
      <c r="C29" s="19">
        <v>5.9</v>
      </c>
      <c r="D29" s="19">
        <v>5.7</v>
      </c>
      <c r="E29" s="19">
        <v>158</v>
      </c>
      <c r="F29" s="19">
        <v>414</v>
      </c>
      <c r="G29" s="19">
        <v>13</v>
      </c>
      <c r="I29" s="19" t="e">
        <f t="shared" si="0"/>
        <v>#N/A</v>
      </c>
      <c r="J29" s="19" t="str">
        <f>VLOOKUP(aggregated_results!A29,representatives_list!A:D,4,FALSE)</f>
        <v>N/A</v>
      </c>
      <c r="K29" s="19" t="str">
        <f>VLOOKUP(aggregated_results!A29,representatives_list!A:D,3,FALSE)</f>
        <v>Pi</v>
      </c>
      <c r="L29" s="19" t="str">
        <f>VLOOKUP(aggregated_results!A29,representatives_list!A:E,5,FALSE)</f>
        <v>BG(–)</v>
      </c>
      <c r="M29" s="19" t="str">
        <f>VLOOKUP(A29,representatives_list!A:B,2,FALSE)</f>
        <v>Inositol-pentaphosphate 2-kinase</v>
      </c>
      <c r="N29" s="19" t="str">
        <f>VLOOKUP(B29,representatives_list!A:B,2,FALSE)</f>
        <v>SAICAR synthase-like</v>
      </c>
      <c r="O29" s="19" t="str">
        <f>VLOOKUP(aggregated_results!B29,representatives_list!A:E,5,FALSE)</f>
        <v>BG(–)</v>
      </c>
      <c r="P29" s="19" t="str">
        <f>VLOOKUP(aggregated_results!B29,representatives_list!A:D,3,FALSE)</f>
        <v>Pi</v>
      </c>
      <c r="Q29" s="19" t="str">
        <f>VLOOKUP(aggregated_results!B29,representatives_list!A:D,4,FALSE)</f>
        <v>d.143.1</v>
      </c>
      <c r="R29" s="19" t="s">
        <v>301</v>
      </c>
    </row>
    <row r="30" spans="1:18" x14ac:dyDescent="0.25">
      <c r="A30" t="s">
        <v>33</v>
      </c>
      <c r="B30" t="s">
        <v>42</v>
      </c>
      <c r="C30">
        <v>5.8</v>
      </c>
      <c r="D30">
        <v>11.4</v>
      </c>
      <c r="E30">
        <v>101</v>
      </c>
      <c r="F30">
        <v>530</v>
      </c>
      <c r="G30">
        <v>13</v>
      </c>
      <c r="I30" t="str">
        <f t="shared" si="0"/>
        <v/>
      </c>
      <c r="J30" t="str">
        <f>VLOOKUP(aggregated_results!A30,representatives_list!A:D,4,FALSE)</f>
        <v>e.23.1</v>
      </c>
      <c r="K30" t="str">
        <f>VLOOKUP(aggregated_results!A30,representatives_list!A:D,3,FALSE)</f>
        <v>PPi</v>
      </c>
      <c r="L30" t="str">
        <f>VLOOKUP(aggregated_results!A30,representatives_list!A:E,5,FALSE)</f>
        <v>BG(+)</v>
      </c>
      <c r="M30" t="str">
        <f>VLOOKUP(A30,representatives_list!A:B,2,FALSE)</f>
        <v>Acetyl-CoA synthetase-like</v>
      </c>
      <c r="N30" t="str">
        <f>VLOOKUP(B30,representatives_list!A:B,2,FALSE)</f>
        <v>NAD kinase/diacylglycerol kinase-like</v>
      </c>
      <c r="O30" t="str">
        <f>VLOOKUP(aggregated_results!B30,representatives_list!A:E,5,FALSE)</f>
        <v>ABG(+)</v>
      </c>
      <c r="P30" t="str">
        <f>VLOOKUP(aggregated_results!B30,representatives_list!A:D,3,FALSE)</f>
        <v>Pi</v>
      </c>
      <c r="Q30" t="str">
        <f>VLOOKUP(aggregated_results!B30,representatives_list!A:D,4,FALSE)</f>
        <v>e.52.1</v>
      </c>
    </row>
    <row r="31" spans="1:18" s="19" customFormat="1" x14ac:dyDescent="0.25">
      <c r="A31" s="19" t="s">
        <v>46</v>
      </c>
      <c r="B31" s="19" t="s">
        <v>35</v>
      </c>
      <c r="C31" s="19">
        <v>5.8</v>
      </c>
      <c r="D31" s="19">
        <v>5</v>
      </c>
      <c r="E31" s="19">
        <v>152</v>
      </c>
      <c r="F31" s="19">
        <v>253</v>
      </c>
      <c r="G31" s="19">
        <v>8</v>
      </c>
      <c r="I31" s="19" t="e">
        <f t="shared" si="0"/>
        <v>#N/A</v>
      </c>
      <c r="J31" s="19" t="str">
        <f>VLOOKUP(aggregated_results!A31,representatives_list!A:D,4,FALSE)</f>
        <v>N/A</v>
      </c>
      <c r="K31" s="19" t="str">
        <f>VLOOKUP(aggregated_results!A31,representatives_list!A:D,3,FALSE)</f>
        <v>PPi</v>
      </c>
      <c r="L31" s="19" t="str">
        <f>VLOOKUP(aggregated_results!A31,representatives_list!A:E,5,FALSE)</f>
        <v>ABG(+)</v>
      </c>
      <c r="M31" s="19" t="str">
        <f>VLOOKUP(A31,representatives_list!A:B,2,FALSE)</f>
        <v>Phosphopantoate/pantothenate synthetase superfamily</v>
      </c>
      <c r="N31" s="19" t="str">
        <f>VLOOKUP(B31,representatives_list!A:B,2,FALSE)</f>
        <v>Phosphoglycerate kinase</v>
      </c>
      <c r="O31" s="19" t="str">
        <f>VLOOKUP(aggregated_results!B31,representatives_list!A:E,5,FALSE)</f>
        <v>ABG(–)</v>
      </c>
      <c r="P31" s="19" t="str">
        <f>VLOOKUP(aggregated_results!B31,representatives_list!A:D,3,FALSE)</f>
        <v>Pi</v>
      </c>
      <c r="Q31" s="19" t="str">
        <f>VLOOKUP(aggregated_results!B31,representatives_list!A:D,4,FALSE)</f>
        <v>c.86.1</v>
      </c>
      <c r="R31" s="19" t="s">
        <v>302</v>
      </c>
    </row>
    <row r="32" spans="1:18" x14ac:dyDescent="0.25">
      <c r="A32" t="s">
        <v>18</v>
      </c>
      <c r="B32" t="s">
        <v>26</v>
      </c>
      <c r="C32">
        <v>5.8</v>
      </c>
      <c r="D32">
        <v>3.4</v>
      </c>
      <c r="E32">
        <v>77</v>
      </c>
      <c r="F32">
        <v>192</v>
      </c>
      <c r="G32">
        <v>9</v>
      </c>
      <c r="I32" t="str">
        <f t="shared" si="0"/>
        <v>x</v>
      </c>
      <c r="J32" t="str">
        <f>VLOOKUP(aggregated_results!A32,representatives_list!A:D,4,FALSE)</f>
        <v>d.58.29</v>
      </c>
      <c r="K32" t="str">
        <f>VLOOKUP(aggregated_results!A32,representatives_list!A:D,3,FALSE)</f>
        <v>PPi</v>
      </c>
      <c r="L32" t="str">
        <f>VLOOKUP(aggregated_results!A32,representatives_list!A:E,5,FALSE)</f>
        <v>ABG(–)</v>
      </c>
      <c r="M32" t="str">
        <f>VLOOKUP(A32,representatives_list!A:B,2,FALSE)</f>
        <v>Nucleotide cyclase</v>
      </c>
      <c r="N32" t="str">
        <f>VLOOKUP(B32,representatives_list!A:B,2,FALSE)</f>
        <v>GlnB-like</v>
      </c>
      <c r="O32" t="str">
        <f>VLOOKUP(aggregated_results!B32,representatives_list!A:E,5,FALSE)</f>
        <v>ABG(–)</v>
      </c>
      <c r="P32" t="str">
        <f>VLOOKUP(aggregated_results!B32,representatives_list!A:D,3,FALSE)</f>
        <v>Pi</v>
      </c>
      <c r="Q32" t="str">
        <f>VLOOKUP(aggregated_results!B32,representatives_list!A:D,4,FALSE)</f>
        <v>d.58.5</v>
      </c>
    </row>
    <row r="33" spans="1:18" x14ac:dyDescent="0.25">
      <c r="A33" t="s">
        <v>33</v>
      </c>
      <c r="B33" t="s">
        <v>30</v>
      </c>
      <c r="C33">
        <v>5.7</v>
      </c>
      <c r="D33">
        <v>3.5</v>
      </c>
      <c r="E33">
        <v>79</v>
      </c>
      <c r="F33">
        <v>530</v>
      </c>
      <c r="G33">
        <v>13</v>
      </c>
      <c r="I33" t="str">
        <f t="shared" si="0"/>
        <v/>
      </c>
      <c r="J33" t="str">
        <f>VLOOKUP(aggregated_results!A33,representatives_list!A:D,4,FALSE)</f>
        <v>e.23.1</v>
      </c>
      <c r="K33" t="str">
        <f>VLOOKUP(aggregated_results!A33,representatives_list!A:D,3,FALSE)</f>
        <v>PPi</v>
      </c>
      <c r="L33" t="str">
        <f>VLOOKUP(aggregated_results!A33,representatives_list!A:E,5,FALSE)</f>
        <v>BG(+)</v>
      </c>
      <c r="M33" t="str">
        <f>VLOOKUP(A33,representatives_list!A:B,2,FALSE)</f>
        <v>Acetyl-CoA synthetase-like</v>
      </c>
      <c r="N33" t="str">
        <f>VLOOKUP(B33,representatives_list!A:B,2,FALSE)</f>
        <v>Glycerate kinase I</v>
      </c>
      <c r="O33" t="str">
        <f>VLOOKUP(aggregated_results!B33,representatives_list!A:E,5,FALSE)</f>
        <v>N/A</v>
      </c>
      <c r="P33" t="str">
        <f>VLOOKUP(aggregated_results!B33,representatives_list!A:D,3,FALSE)</f>
        <v>Pi</v>
      </c>
      <c r="Q33" t="str">
        <f>VLOOKUP(aggregated_results!B33,representatives_list!A:D,4,FALSE)</f>
        <v>c.141.1</v>
      </c>
    </row>
    <row r="34" spans="1:18" s="19" customFormat="1" x14ac:dyDescent="0.25">
      <c r="A34" s="19" t="s">
        <v>46</v>
      </c>
      <c r="B34" s="19" t="s">
        <v>34</v>
      </c>
      <c r="C34" s="19">
        <v>5.7</v>
      </c>
      <c r="D34" s="19">
        <v>5.9</v>
      </c>
      <c r="E34" s="19">
        <v>160</v>
      </c>
      <c r="F34" s="19">
        <v>253</v>
      </c>
      <c r="G34" s="19">
        <v>6</v>
      </c>
      <c r="I34" s="19" t="e">
        <f t="shared" si="0"/>
        <v>#N/A</v>
      </c>
      <c r="J34" s="19" t="str">
        <f>VLOOKUP(aggregated_results!A34,representatives_list!A:D,4,FALSE)</f>
        <v>N/A</v>
      </c>
      <c r="K34" s="19" t="str">
        <f>VLOOKUP(aggregated_results!A34,representatives_list!A:D,3,FALSE)</f>
        <v>PPi</v>
      </c>
      <c r="L34" s="19" t="str">
        <f>VLOOKUP(aggregated_results!A34,representatives_list!A:E,5,FALSE)</f>
        <v>ABG(+)</v>
      </c>
      <c r="M34" s="19" t="str">
        <f>VLOOKUP(A34,representatives_list!A:B,2,FALSE)</f>
        <v>Phosphopantoate/pantothenate synthetase superfamily</v>
      </c>
      <c r="N34" s="19" t="str">
        <f>VLOOKUP(B34,representatives_list!A:B,2,FALSE)</f>
        <v>Tubulin nucleotide-binding domain-like</v>
      </c>
      <c r="O34" s="19" t="str">
        <f>VLOOKUP(aggregated_results!B34,representatives_list!A:E,5,FALSE)</f>
        <v>BG(–)</v>
      </c>
      <c r="P34" s="19" t="str">
        <f>VLOOKUP(aggregated_results!B34,representatives_list!A:D,3,FALSE)</f>
        <v>Pi</v>
      </c>
      <c r="Q34" s="19" t="str">
        <f>VLOOKUP(aggregated_results!B34,representatives_list!A:D,4,FALSE)</f>
        <v>c.32.1</v>
      </c>
      <c r="R34" s="19" t="s">
        <v>302</v>
      </c>
    </row>
    <row r="35" spans="1:18" x14ac:dyDescent="0.25">
      <c r="A35" t="s">
        <v>25</v>
      </c>
      <c r="B35" t="s">
        <v>35</v>
      </c>
      <c r="C35">
        <v>5.7</v>
      </c>
      <c r="D35">
        <v>3.6</v>
      </c>
      <c r="E35">
        <v>137</v>
      </c>
      <c r="F35">
        <v>469</v>
      </c>
      <c r="G35">
        <v>11</v>
      </c>
      <c r="I35" t="str">
        <f t="shared" si="0"/>
        <v/>
      </c>
      <c r="J35" t="str">
        <f>VLOOKUP(aggregated_results!A35,representatives_list!A:D,4,FALSE)</f>
        <v>c.73.1</v>
      </c>
      <c r="K35" t="str">
        <f>VLOOKUP(aggregated_results!A35,representatives_list!A:D,3,FALSE)</f>
        <v>Pi</v>
      </c>
      <c r="L35" t="str">
        <f>VLOOKUP(aggregated_results!A35,representatives_list!A:E,5,FALSE)</f>
        <v>ABG(+)</v>
      </c>
      <c r="M35" t="str">
        <f>VLOOKUP(A35,representatives_list!A:B,2,FALSE)</f>
        <v>Carbamate kinase-like</v>
      </c>
      <c r="N35" t="str">
        <f>VLOOKUP(B35,representatives_list!A:B,2,FALSE)</f>
        <v>Phosphoglycerate kinase</v>
      </c>
      <c r="O35" t="str">
        <f>VLOOKUP(aggregated_results!B35,representatives_list!A:E,5,FALSE)</f>
        <v>ABG(–)</v>
      </c>
      <c r="P35" t="str">
        <f>VLOOKUP(aggregated_results!B35,representatives_list!A:D,3,FALSE)</f>
        <v>Pi</v>
      </c>
      <c r="Q35" t="str">
        <f>VLOOKUP(aggregated_results!B35,representatives_list!A:D,4,FALSE)</f>
        <v>c.86.1</v>
      </c>
    </row>
    <row r="36" spans="1:18" s="19" customFormat="1" x14ac:dyDescent="0.25">
      <c r="A36" s="19" t="s">
        <v>19</v>
      </c>
      <c r="B36" s="19" t="s">
        <v>47</v>
      </c>
      <c r="C36" s="19">
        <v>5.6</v>
      </c>
      <c r="D36" s="19">
        <v>4</v>
      </c>
      <c r="E36" s="19">
        <v>111</v>
      </c>
      <c r="F36" s="19">
        <v>417</v>
      </c>
      <c r="G36" s="19">
        <v>7</v>
      </c>
      <c r="I36" s="19" t="e">
        <f t="shared" si="0"/>
        <v>#N/A</v>
      </c>
      <c r="J36" s="19" t="str">
        <f>VLOOKUP(aggregated_results!A36,representatives_list!A:D,4,FALSE)</f>
        <v>N/A</v>
      </c>
      <c r="K36" s="19" t="str">
        <f>VLOOKUP(aggregated_results!A36,representatives_list!A:D,3,FALSE)</f>
        <v>PPi</v>
      </c>
      <c r="L36" s="19" t="str">
        <f>VLOOKUP(aggregated_results!A36,representatives_list!A:E,5,FALSE)</f>
        <v>N/A</v>
      </c>
      <c r="M36" s="19" t="str">
        <f>VLOOKUP(A36,representatives_list!A:B,2,FALSE)</f>
        <v>tRNA(Ile2) 2-agmatinylcytidine synthetase TiaS</v>
      </c>
      <c r="N36" s="19" t="str">
        <f>VLOOKUP(B36,representatives_list!A:B,2,FALSE)</f>
        <v>6-hydroxymethyl-7,8-dihydropterin pyrophosphokinase, HPPK</v>
      </c>
      <c r="O36" s="19" t="str">
        <f>VLOOKUP(aggregated_results!B36,representatives_list!A:E,5,FALSE)</f>
        <v>AB(+)</v>
      </c>
      <c r="P36" s="19" t="str">
        <f>VLOOKUP(aggregated_results!B36,representatives_list!A:D,3,FALSE)</f>
        <v>PPi</v>
      </c>
      <c r="Q36" s="19" t="str">
        <f>VLOOKUP(aggregated_results!B36,representatives_list!A:D,4,FALSE)</f>
        <v>d.58.30</v>
      </c>
      <c r="R36" s="19" t="s">
        <v>303</v>
      </c>
    </row>
    <row r="37" spans="1:18" x14ac:dyDescent="0.25">
      <c r="A37" t="s">
        <v>26</v>
      </c>
      <c r="B37" t="s">
        <v>41</v>
      </c>
      <c r="C37">
        <v>5.6</v>
      </c>
      <c r="D37">
        <v>2.2000000000000002</v>
      </c>
      <c r="E37">
        <v>62</v>
      </c>
      <c r="F37">
        <v>117</v>
      </c>
      <c r="G37">
        <v>8</v>
      </c>
      <c r="I37" t="str">
        <f t="shared" si="0"/>
        <v/>
      </c>
      <c r="J37" t="str">
        <f>VLOOKUP(aggregated_results!A37,representatives_list!A:D,4,FALSE)</f>
        <v>d.58.5</v>
      </c>
      <c r="K37" t="str">
        <f>VLOOKUP(aggregated_results!A37,representatives_list!A:D,3,FALSE)</f>
        <v>Pi</v>
      </c>
      <c r="L37" t="str">
        <f>VLOOKUP(aggregated_results!A37,representatives_list!A:E,5,FALSE)</f>
        <v>ABG(–)</v>
      </c>
      <c r="M37" t="str">
        <f>VLOOKUP(A37,representatives_list!A:B,2,FALSE)</f>
        <v>GlnB-like</v>
      </c>
      <c r="N37" t="str">
        <f>VLOOKUP(B37,representatives_list!A:B,2,FALSE)</f>
        <v>Molybdenum cofactor biosynthesis proteins</v>
      </c>
      <c r="O37" t="str">
        <f>VLOOKUP(aggregated_results!B37,representatives_list!A:E,5,FALSE)</f>
        <v>ABG(–)</v>
      </c>
      <c r="P37" t="str">
        <f>VLOOKUP(aggregated_results!B37,representatives_list!A:D,3,FALSE)</f>
        <v>Pi</v>
      </c>
      <c r="Q37" t="str">
        <f>VLOOKUP(aggregated_results!B37,representatives_list!A:D,4,FALSE)</f>
        <v>c.57.1</v>
      </c>
    </row>
    <row r="38" spans="1:18" x14ac:dyDescent="0.25">
      <c r="A38" t="s">
        <v>48</v>
      </c>
      <c r="B38" t="s">
        <v>35</v>
      </c>
      <c r="C38">
        <v>5.5</v>
      </c>
      <c r="D38">
        <v>3.3</v>
      </c>
      <c r="E38">
        <v>130</v>
      </c>
      <c r="F38">
        <v>994</v>
      </c>
      <c r="G38">
        <v>8</v>
      </c>
      <c r="I38" t="str">
        <f t="shared" si="0"/>
        <v/>
      </c>
      <c r="J38" t="str">
        <f>VLOOKUP(aggregated_results!A38,representatives_list!A:D,4,FALSE)</f>
        <v>d.220.1</v>
      </c>
      <c r="K38" t="str">
        <f>VLOOKUP(aggregated_results!A38,representatives_list!A:D,3,FALSE)</f>
        <v>Pi</v>
      </c>
      <c r="L38" t="str">
        <f>VLOOKUP(aggregated_results!A38,representatives_list!A:E,5,FALSE)</f>
        <v>BG(–)</v>
      </c>
      <c r="M38" t="str">
        <f>VLOOKUP(A38,representatives_list!A:B,2,FALSE)</f>
        <v>Metal cation-transporting ATPase, ATP-binding domain N</v>
      </c>
      <c r="N38" t="str">
        <f>VLOOKUP(B38,representatives_list!A:B,2,FALSE)</f>
        <v>Phosphoglycerate kinase</v>
      </c>
      <c r="O38" t="str">
        <f>VLOOKUP(aggregated_results!B38,representatives_list!A:E,5,FALSE)</f>
        <v>ABG(–)</v>
      </c>
      <c r="P38" t="str">
        <f>VLOOKUP(aggregated_results!B38,representatives_list!A:D,3,FALSE)</f>
        <v>Pi</v>
      </c>
      <c r="Q38" t="str">
        <f>VLOOKUP(aggregated_results!B38,representatives_list!A:D,4,FALSE)</f>
        <v>c.86.1</v>
      </c>
    </row>
    <row r="39" spans="1:18" x14ac:dyDescent="0.25">
      <c r="A39" t="s">
        <v>36</v>
      </c>
      <c r="B39" t="s">
        <v>34</v>
      </c>
      <c r="C39">
        <v>5.5</v>
      </c>
      <c r="D39">
        <v>3.6</v>
      </c>
      <c r="E39">
        <v>128</v>
      </c>
      <c r="F39">
        <v>166</v>
      </c>
      <c r="G39">
        <v>7</v>
      </c>
      <c r="I39" t="str">
        <f t="shared" si="0"/>
        <v/>
      </c>
      <c r="J39" t="str">
        <f>VLOOKUP(aggregated_results!A39,representatives_list!A:D,4,FALSE)</f>
        <v>c.37.1</v>
      </c>
      <c r="K39" t="str">
        <f>VLOOKUP(aggregated_results!A39,representatives_list!A:D,3,FALSE)</f>
        <v>Pi</v>
      </c>
      <c r="L39" t="str">
        <f>VLOOKUP(aggregated_results!A39,representatives_list!A:E,5,FALSE)</f>
        <v>BG(–)</v>
      </c>
      <c r="M39" t="str">
        <f>VLOOKUP(A39,representatives_list!A:B,2,FALSE)</f>
        <v>P-loop containing nucleoside triphosphate hydrolases</v>
      </c>
      <c r="N39" t="str">
        <f>VLOOKUP(B39,representatives_list!A:B,2,FALSE)</f>
        <v>Tubulin nucleotide-binding domain-like</v>
      </c>
      <c r="O39" t="str">
        <f>VLOOKUP(aggregated_results!B39,representatives_list!A:E,5,FALSE)</f>
        <v>BG(–)</v>
      </c>
      <c r="P39" t="str">
        <f>VLOOKUP(aggregated_results!B39,representatives_list!A:D,3,FALSE)</f>
        <v>Pi</v>
      </c>
      <c r="Q39" t="str">
        <f>VLOOKUP(aggregated_results!B39,representatives_list!A:D,4,FALSE)</f>
        <v>c.32.1</v>
      </c>
    </row>
    <row r="40" spans="1:18" x14ac:dyDescent="0.25">
      <c r="A40" t="s">
        <v>21</v>
      </c>
      <c r="B40" t="s">
        <v>25</v>
      </c>
      <c r="C40">
        <v>5.4</v>
      </c>
      <c r="D40">
        <v>3.2</v>
      </c>
      <c r="E40">
        <v>77</v>
      </c>
      <c r="F40">
        <v>753</v>
      </c>
      <c r="G40">
        <v>21</v>
      </c>
      <c r="I40" t="str">
        <f t="shared" si="0"/>
        <v/>
      </c>
      <c r="J40" t="str">
        <f>VLOOKUP(aggregated_results!A40,representatives_list!A:D,4,FALSE)</f>
        <v>d.115.1</v>
      </c>
      <c r="K40" t="str">
        <f>VLOOKUP(aggregated_results!A40,representatives_list!A:D,3,FALSE)</f>
        <v>PPi</v>
      </c>
      <c r="L40" t="str">
        <f>VLOOKUP(aggregated_results!A40,representatives_list!A:E,5,FALSE)</f>
        <v>ABG(–)</v>
      </c>
      <c r="M40" t="str">
        <f>VLOOKUP(A40,representatives_list!A:B,2,FALSE)</f>
        <v>YrdC/RibB</v>
      </c>
      <c r="N40" t="str">
        <f>VLOOKUP(B40,representatives_list!A:B,2,FALSE)</f>
        <v>Carbamate kinase-like</v>
      </c>
      <c r="O40" t="str">
        <f>VLOOKUP(aggregated_results!B40,representatives_list!A:E,5,FALSE)</f>
        <v>ABG(+)</v>
      </c>
      <c r="P40" t="str">
        <f>VLOOKUP(aggregated_results!B40,representatives_list!A:D,3,FALSE)</f>
        <v>Pi</v>
      </c>
      <c r="Q40" t="str">
        <f>VLOOKUP(aggregated_results!B40,representatives_list!A:D,4,FALSE)</f>
        <v>c.73.1</v>
      </c>
    </row>
    <row r="41" spans="1:18" s="19" customFormat="1" x14ac:dyDescent="0.25">
      <c r="A41" s="19" t="s">
        <v>49</v>
      </c>
      <c r="B41" s="19" t="s">
        <v>21</v>
      </c>
      <c r="C41" s="19">
        <v>5.3</v>
      </c>
      <c r="D41" s="19">
        <v>5.5</v>
      </c>
      <c r="E41" s="19">
        <v>88</v>
      </c>
      <c r="F41" s="19">
        <v>745</v>
      </c>
      <c r="G41" s="19">
        <v>8</v>
      </c>
      <c r="I41" s="19" t="e">
        <f t="shared" si="0"/>
        <v>#N/A</v>
      </c>
      <c r="J41" s="19" t="str">
        <f>VLOOKUP(aggregated_results!A41,representatives_list!A:D,4,FALSE)</f>
        <v>N/A</v>
      </c>
      <c r="K41" s="19" t="str">
        <f>VLOOKUP(aggregated_results!A41,representatives_list!A:D,3,FALSE)</f>
        <v>PPi</v>
      </c>
      <c r="L41" s="19" t="str">
        <f>VLOOKUP(aggregated_results!A41,representatives_list!A:E,5,FALSE)</f>
        <v>ABG(–)</v>
      </c>
      <c r="M41" s="19" t="str">
        <f>VLOOKUP(A41,representatives_list!A:B,2,FALSE)</f>
        <v>Influenza RNA-dependent RNA polymerase subunit PB1</v>
      </c>
      <c r="N41" s="19" t="str">
        <f>VLOOKUP(B41,representatives_list!A:B,2,FALSE)</f>
        <v>YrdC/RibB</v>
      </c>
      <c r="O41" s="19" t="str">
        <f>VLOOKUP(aggregated_results!B41,representatives_list!A:E,5,FALSE)</f>
        <v>ABG(–)</v>
      </c>
      <c r="P41" s="19" t="str">
        <f>VLOOKUP(aggregated_results!B41,representatives_list!A:D,3,FALSE)</f>
        <v>PPi</v>
      </c>
      <c r="Q41" s="19" t="str">
        <f>VLOOKUP(aggregated_results!B41,representatives_list!A:D,4,FALSE)</f>
        <v>d.115.1</v>
      </c>
      <c r="R41" s="19" t="s">
        <v>304</v>
      </c>
    </row>
    <row r="42" spans="1:18" x14ac:dyDescent="0.25">
      <c r="A42" t="s">
        <v>23</v>
      </c>
      <c r="B42" t="s">
        <v>36</v>
      </c>
      <c r="C42">
        <v>5.3</v>
      </c>
      <c r="D42">
        <v>3.5</v>
      </c>
      <c r="E42">
        <v>110</v>
      </c>
      <c r="F42">
        <v>307</v>
      </c>
      <c r="G42">
        <v>9</v>
      </c>
      <c r="I42" t="str">
        <f t="shared" si="0"/>
        <v/>
      </c>
      <c r="J42" t="str">
        <f>VLOOKUP(aggregated_results!A42,representatives_list!A:D,4,FALSE)</f>
        <v>c.72.2</v>
      </c>
      <c r="K42" t="str">
        <f>VLOOKUP(aggregated_results!A42,representatives_list!A:D,3,FALSE)</f>
        <v>Pi</v>
      </c>
      <c r="L42" t="str">
        <f>VLOOKUP(aggregated_results!A42,representatives_list!A:E,5,FALSE)</f>
        <v>BG(–)</v>
      </c>
      <c r="M42" t="str">
        <f>VLOOKUP(A42,representatives_list!A:B,2,FALSE)</f>
        <v>MurD-like peptide ligases, catalytic domain</v>
      </c>
      <c r="N42" t="str">
        <f>VLOOKUP(B42,representatives_list!A:B,2,FALSE)</f>
        <v>P-loop containing nucleoside triphosphate hydrolases</v>
      </c>
      <c r="O42" t="str">
        <f>VLOOKUP(aggregated_results!B42,representatives_list!A:E,5,FALSE)</f>
        <v>BG(–)</v>
      </c>
      <c r="P42" t="str">
        <f>VLOOKUP(aggregated_results!B42,representatives_list!A:D,3,FALSE)</f>
        <v>Pi</v>
      </c>
      <c r="Q42" t="str">
        <f>VLOOKUP(aggregated_results!B42,representatives_list!A:D,4,FALSE)</f>
        <v>c.37.1</v>
      </c>
    </row>
    <row r="43" spans="1:18" x14ac:dyDescent="0.25">
      <c r="A43" t="s">
        <v>17</v>
      </c>
      <c r="B43" t="s">
        <v>38</v>
      </c>
      <c r="C43">
        <v>5.3</v>
      </c>
      <c r="D43">
        <v>4.7</v>
      </c>
      <c r="E43">
        <v>75</v>
      </c>
      <c r="F43">
        <v>427</v>
      </c>
      <c r="G43">
        <v>11</v>
      </c>
      <c r="I43" t="str">
        <f t="shared" si="0"/>
        <v/>
      </c>
      <c r="J43" t="str">
        <f>VLOOKUP(aggregated_results!A43,representatives_list!A:D,4,FALSE)</f>
        <v>e.8.1</v>
      </c>
      <c r="K43" t="str">
        <f>VLOOKUP(aggregated_results!A43,representatives_list!A:D,3,FALSE)</f>
        <v>PPi</v>
      </c>
      <c r="L43" t="str">
        <f>VLOOKUP(aggregated_results!A43,representatives_list!A:E,5,FALSE)</f>
        <v>ABG(–)</v>
      </c>
      <c r="M43" t="str">
        <f>VLOOKUP(A43,representatives_list!A:B,2,FALSE)</f>
        <v>DNA/RNA polymerases</v>
      </c>
      <c r="N43" t="str">
        <f>VLOOKUP(B43,representatives_list!A:B,2,FALSE)</f>
        <v>YojJ-like</v>
      </c>
      <c r="O43" t="str">
        <f>VLOOKUP(aggregated_results!B43,representatives_list!A:E,5,FALSE)</f>
        <v>ABG(–)</v>
      </c>
      <c r="P43" t="str">
        <f>VLOOKUP(aggregated_results!B43,representatives_list!A:D,3,FALSE)</f>
        <v>PPi</v>
      </c>
      <c r="Q43" t="str">
        <f>VLOOKUP(aggregated_results!B43,representatives_list!A:D,4,FALSE)</f>
        <v>d.320.1</v>
      </c>
    </row>
    <row r="44" spans="1:18" x14ac:dyDescent="0.25">
      <c r="A44" t="s">
        <v>47</v>
      </c>
      <c r="B44" t="s">
        <v>50</v>
      </c>
      <c r="C44">
        <v>5.3</v>
      </c>
      <c r="D44">
        <v>3.3</v>
      </c>
      <c r="E44">
        <v>94</v>
      </c>
      <c r="F44">
        <v>159</v>
      </c>
      <c r="G44">
        <v>4</v>
      </c>
      <c r="I44" t="str">
        <f t="shared" si="0"/>
        <v>x</v>
      </c>
      <c r="J44" t="str">
        <f>VLOOKUP(aggregated_results!A44,representatives_list!A:D,4,FALSE)</f>
        <v>d.58.30</v>
      </c>
      <c r="K44" t="str">
        <f>VLOOKUP(aggregated_results!A44,representatives_list!A:D,3,FALSE)</f>
        <v>PPi</v>
      </c>
      <c r="L44" t="str">
        <f>VLOOKUP(aggregated_results!A44,representatives_list!A:E,5,FALSE)</f>
        <v>AB(+)</v>
      </c>
      <c r="M44" t="str">
        <f>VLOOKUP(A44,representatives_list!A:B,2,FALSE)</f>
        <v>6-hydroxymethyl-7,8-dihydropterin pyrophosphokinase, HPPK</v>
      </c>
      <c r="N44" t="str">
        <f>VLOOKUP(B44,representatives_list!A:B,2,FALSE)</f>
        <v>Nucleoside diphosphate kinase, NDK</v>
      </c>
      <c r="O44" t="str">
        <f>VLOOKUP(aggregated_results!B44,representatives_list!A:E,5,FALSE)</f>
        <v>ABG(+)</v>
      </c>
      <c r="P44" t="str">
        <f>VLOOKUP(aggregated_results!B44,representatives_list!A:D,3,FALSE)</f>
        <v>Pi</v>
      </c>
      <c r="Q44" t="str">
        <f>VLOOKUP(aggregated_results!B44,representatives_list!A:D,4,FALSE)</f>
        <v>d.58.6</v>
      </c>
    </row>
    <row r="45" spans="1:18" x14ac:dyDescent="0.25">
      <c r="A45" t="s">
        <v>21</v>
      </c>
      <c r="B45" t="s">
        <v>41</v>
      </c>
      <c r="C45">
        <v>5.3</v>
      </c>
      <c r="D45">
        <v>5.7</v>
      </c>
      <c r="E45">
        <v>111</v>
      </c>
      <c r="F45">
        <v>753</v>
      </c>
      <c r="G45">
        <v>11</v>
      </c>
      <c r="I45" t="str">
        <f t="shared" si="0"/>
        <v/>
      </c>
      <c r="J45" t="str">
        <f>VLOOKUP(aggregated_results!A45,representatives_list!A:D,4,FALSE)</f>
        <v>d.115.1</v>
      </c>
      <c r="K45" t="str">
        <f>VLOOKUP(aggregated_results!A45,representatives_list!A:D,3,FALSE)</f>
        <v>PPi</v>
      </c>
      <c r="L45" t="str">
        <f>VLOOKUP(aggregated_results!A45,representatives_list!A:E,5,FALSE)</f>
        <v>ABG(–)</v>
      </c>
      <c r="M45" t="str">
        <f>VLOOKUP(A45,representatives_list!A:B,2,FALSE)</f>
        <v>YrdC/RibB</v>
      </c>
      <c r="N45" t="str">
        <f>VLOOKUP(B45,representatives_list!A:B,2,FALSE)</f>
        <v>Molybdenum cofactor biosynthesis proteins</v>
      </c>
      <c r="O45" t="str">
        <f>VLOOKUP(aggregated_results!B45,representatives_list!A:E,5,FALSE)</f>
        <v>ABG(–)</v>
      </c>
      <c r="P45" t="str">
        <f>VLOOKUP(aggregated_results!B45,representatives_list!A:D,3,FALSE)</f>
        <v>Pi</v>
      </c>
      <c r="Q45" t="str">
        <f>VLOOKUP(aggregated_results!B45,representatives_list!A:D,4,FALSE)</f>
        <v>c.57.1</v>
      </c>
    </row>
    <row r="46" spans="1:18" s="19" customFormat="1" x14ac:dyDescent="0.25">
      <c r="A46" s="19" t="s">
        <v>19</v>
      </c>
      <c r="B46" s="19" t="s">
        <v>26</v>
      </c>
      <c r="C46" s="19">
        <v>5.3</v>
      </c>
      <c r="D46" s="19">
        <v>2.6</v>
      </c>
      <c r="E46" s="19">
        <v>77</v>
      </c>
      <c r="F46" s="19">
        <v>417</v>
      </c>
      <c r="G46" s="19">
        <v>12</v>
      </c>
      <c r="I46" s="19" t="e">
        <f t="shared" si="0"/>
        <v>#N/A</v>
      </c>
      <c r="J46" s="19" t="str">
        <f>VLOOKUP(aggregated_results!A46,representatives_list!A:D,4,FALSE)</f>
        <v>N/A</v>
      </c>
      <c r="K46" s="19" t="str">
        <f>VLOOKUP(aggregated_results!A46,representatives_list!A:D,3,FALSE)</f>
        <v>PPi</v>
      </c>
      <c r="L46" s="19" t="str">
        <f>VLOOKUP(aggregated_results!A46,representatives_list!A:E,5,FALSE)</f>
        <v>N/A</v>
      </c>
      <c r="M46" s="19" t="str">
        <f>VLOOKUP(A46,representatives_list!A:B,2,FALSE)</f>
        <v>tRNA(Ile2) 2-agmatinylcytidine synthetase TiaS</v>
      </c>
      <c r="N46" s="19" t="str">
        <f>VLOOKUP(B46,representatives_list!A:B,2,FALSE)</f>
        <v>GlnB-like</v>
      </c>
      <c r="O46" s="19" t="str">
        <f>VLOOKUP(aggregated_results!B46,representatives_list!A:E,5,FALSE)</f>
        <v>ABG(–)</v>
      </c>
      <c r="P46" s="19" t="str">
        <f>VLOOKUP(aggregated_results!B46,representatives_list!A:D,3,FALSE)</f>
        <v>Pi</v>
      </c>
      <c r="Q46" s="19" t="str">
        <f>VLOOKUP(aggregated_results!B46,representatives_list!A:D,4,FALSE)</f>
        <v>d.58.5</v>
      </c>
      <c r="R46" s="19" t="s">
        <v>303</v>
      </c>
    </row>
    <row r="47" spans="1:18" x14ac:dyDescent="0.25">
      <c r="A47" t="s">
        <v>47</v>
      </c>
      <c r="B47" t="s">
        <v>25</v>
      </c>
      <c r="C47">
        <v>5.2</v>
      </c>
      <c r="D47">
        <v>3.7</v>
      </c>
      <c r="E47">
        <v>94</v>
      </c>
      <c r="F47">
        <v>159</v>
      </c>
      <c r="G47">
        <v>12</v>
      </c>
      <c r="I47" t="str">
        <f t="shared" si="0"/>
        <v/>
      </c>
      <c r="J47" t="str">
        <f>VLOOKUP(aggregated_results!A47,representatives_list!A:D,4,FALSE)</f>
        <v>d.58.30</v>
      </c>
      <c r="K47" t="str">
        <f>VLOOKUP(aggregated_results!A47,representatives_list!A:D,3,FALSE)</f>
        <v>PPi</v>
      </c>
      <c r="L47" t="str">
        <f>VLOOKUP(aggregated_results!A47,representatives_list!A:E,5,FALSE)</f>
        <v>AB(+)</v>
      </c>
      <c r="M47" t="str">
        <f>VLOOKUP(A47,representatives_list!A:B,2,FALSE)</f>
        <v>6-hydroxymethyl-7,8-dihydropterin pyrophosphokinase, HPPK</v>
      </c>
      <c r="N47" t="str">
        <f>VLOOKUP(B47,representatives_list!A:B,2,FALSE)</f>
        <v>Carbamate kinase-like</v>
      </c>
      <c r="O47" t="str">
        <f>VLOOKUP(aggregated_results!B47,representatives_list!A:E,5,FALSE)</f>
        <v>ABG(+)</v>
      </c>
      <c r="P47" t="str">
        <f>VLOOKUP(aggregated_results!B47,representatives_list!A:D,3,FALSE)</f>
        <v>Pi</v>
      </c>
      <c r="Q47" t="str">
        <f>VLOOKUP(aggregated_results!B47,representatives_list!A:D,4,FALSE)</f>
        <v>c.73.1</v>
      </c>
    </row>
    <row r="48" spans="1:18" x14ac:dyDescent="0.25">
      <c r="A48" t="s">
        <v>24</v>
      </c>
      <c r="B48" t="s">
        <v>36</v>
      </c>
      <c r="C48">
        <v>5.2</v>
      </c>
      <c r="D48">
        <v>3.6</v>
      </c>
      <c r="E48">
        <v>111</v>
      </c>
      <c r="F48">
        <v>315</v>
      </c>
      <c r="G48">
        <v>12</v>
      </c>
      <c r="I48" t="str">
        <f t="shared" si="0"/>
        <v/>
      </c>
      <c r="J48" t="str">
        <f>VLOOKUP(aggregated_results!A48,representatives_list!A:D,4,FALSE)</f>
        <v>c.72.1</v>
      </c>
      <c r="K48" t="str">
        <f>VLOOKUP(aggregated_results!A48,representatives_list!A:D,3,FALSE)</f>
        <v>Pi</v>
      </c>
      <c r="L48" t="str">
        <f>VLOOKUP(aggregated_results!A48,representatives_list!A:E,5,FALSE)</f>
        <v>BG(–)</v>
      </c>
      <c r="M48" t="str">
        <f>VLOOKUP(A48,representatives_list!A:B,2,FALSE)</f>
        <v>Ribokinase-like</v>
      </c>
      <c r="N48" t="str">
        <f>VLOOKUP(B48,representatives_list!A:B,2,FALSE)</f>
        <v>P-loop containing nucleoside triphosphate hydrolases</v>
      </c>
      <c r="O48" t="str">
        <f>VLOOKUP(aggregated_results!B48,representatives_list!A:E,5,FALSE)</f>
        <v>BG(–)</v>
      </c>
      <c r="P48" t="str">
        <f>VLOOKUP(aggregated_results!B48,representatives_list!A:D,3,FALSE)</f>
        <v>Pi</v>
      </c>
      <c r="Q48" t="str">
        <f>VLOOKUP(aggregated_results!B48,representatives_list!A:D,4,FALSE)</f>
        <v>c.37.1</v>
      </c>
    </row>
    <row r="49" spans="1:18" x14ac:dyDescent="0.25">
      <c r="A49" t="s">
        <v>51</v>
      </c>
      <c r="B49" t="s">
        <v>52</v>
      </c>
      <c r="C49">
        <v>5.2</v>
      </c>
      <c r="D49">
        <v>13.7</v>
      </c>
      <c r="E49">
        <v>104</v>
      </c>
      <c r="F49">
        <v>537</v>
      </c>
      <c r="G49">
        <v>9</v>
      </c>
      <c r="I49" t="str">
        <f t="shared" si="0"/>
        <v/>
      </c>
      <c r="J49" t="str">
        <f>VLOOKUP(aggregated_results!A49,representatives_list!A:D,4,FALSE)</f>
        <v>a.208.1</v>
      </c>
      <c r="K49" t="str">
        <f>VLOOKUP(aggregated_results!A49,representatives_list!A:D,3,FALSE)</f>
        <v>Pi</v>
      </c>
      <c r="L49" t="str">
        <f>VLOOKUP(aggregated_results!A49,representatives_list!A:E,5,FALSE)</f>
        <v>BG(–)</v>
      </c>
      <c r="M49" t="str">
        <f>VLOOKUP(A49,representatives_list!A:B,2,FALSE)</f>
        <v>DhaL-like</v>
      </c>
      <c r="N49" t="str">
        <f>VLOOKUP(B49,representatives_list!A:B,2,FALSE)</f>
        <v>PurM N-terminal domain-like</v>
      </c>
      <c r="O49" t="str">
        <f>VLOOKUP(aggregated_results!B49,representatives_list!A:E,5,FALSE)</f>
        <v>ABG(+)</v>
      </c>
      <c r="P49" t="str">
        <f>VLOOKUP(aggregated_results!B49,representatives_list!A:D,3,FALSE)</f>
        <v>Pi</v>
      </c>
      <c r="Q49" t="str">
        <f>VLOOKUP(aggregated_results!B49,representatives_list!A:D,4,FALSE)</f>
        <v>d.79.4</v>
      </c>
    </row>
    <row r="50" spans="1:18" x14ac:dyDescent="0.25">
      <c r="A50" t="s">
        <v>33</v>
      </c>
      <c r="B50" t="s">
        <v>37</v>
      </c>
      <c r="C50">
        <v>5.0999999999999996</v>
      </c>
      <c r="D50">
        <v>15.6</v>
      </c>
      <c r="E50">
        <v>111</v>
      </c>
      <c r="F50">
        <v>530</v>
      </c>
      <c r="G50">
        <v>9</v>
      </c>
      <c r="I50" t="str">
        <f t="shared" si="0"/>
        <v/>
      </c>
      <c r="J50" t="str">
        <f>VLOOKUP(aggregated_results!A50,representatives_list!A:D,4,FALSE)</f>
        <v>e.23.1</v>
      </c>
      <c r="K50" t="str">
        <f>VLOOKUP(aggregated_results!A50,representatives_list!A:D,3,FALSE)</f>
        <v>PPi</v>
      </c>
      <c r="L50" t="str">
        <f>VLOOKUP(aggregated_results!A50,representatives_list!A:E,5,FALSE)</f>
        <v>BG(+)</v>
      </c>
      <c r="M50" t="str">
        <f>VLOOKUP(A50,representatives_list!A:B,2,FALSE)</f>
        <v>Acetyl-CoA synthetase-like</v>
      </c>
      <c r="N50" t="str">
        <f>VLOOKUP(B50,representatives_list!A:B,2,FALSE)</f>
        <v>Phosphofructokinase</v>
      </c>
      <c r="O50" t="str">
        <f>VLOOKUP(aggregated_results!B50,representatives_list!A:E,5,FALSE)</f>
        <v>ABG(–)</v>
      </c>
      <c r="P50" t="str">
        <f>VLOOKUP(aggregated_results!B50,representatives_list!A:D,3,FALSE)</f>
        <v>Pi</v>
      </c>
      <c r="Q50" t="str">
        <f>VLOOKUP(aggregated_results!B50,representatives_list!A:D,4,FALSE)</f>
        <v>c.89.1</v>
      </c>
    </row>
    <row r="51" spans="1:18" s="19" customFormat="1" x14ac:dyDescent="0.25">
      <c r="A51" s="19" t="s">
        <v>46</v>
      </c>
      <c r="B51" s="19" t="s">
        <v>48</v>
      </c>
      <c r="C51" s="19">
        <v>5.0999999999999996</v>
      </c>
      <c r="D51" s="19">
        <v>3.9</v>
      </c>
      <c r="E51" s="19">
        <v>144</v>
      </c>
      <c r="F51" s="19">
        <v>253</v>
      </c>
      <c r="G51" s="19">
        <v>14</v>
      </c>
      <c r="I51" s="19" t="e">
        <f t="shared" si="0"/>
        <v>#N/A</v>
      </c>
      <c r="J51" s="19" t="str">
        <f>VLOOKUP(aggregated_results!A51,representatives_list!A:D,4,FALSE)</f>
        <v>N/A</v>
      </c>
      <c r="K51" s="19" t="str">
        <f>VLOOKUP(aggregated_results!A51,representatives_list!A:D,3,FALSE)</f>
        <v>PPi</v>
      </c>
      <c r="L51" s="19" t="str">
        <f>VLOOKUP(aggregated_results!A51,representatives_list!A:E,5,FALSE)</f>
        <v>ABG(+)</v>
      </c>
      <c r="M51" s="19" t="str">
        <f>VLOOKUP(A51,representatives_list!A:B,2,FALSE)</f>
        <v>Phosphopantoate/pantothenate synthetase superfamily</v>
      </c>
      <c r="N51" s="19" t="str">
        <f>VLOOKUP(B51,representatives_list!A:B,2,FALSE)</f>
        <v>Metal cation-transporting ATPase, ATP-binding domain N</v>
      </c>
      <c r="O51" s="19" t="str">
        <f>VLOOKUP(aggregated_results!B51,representatives_list!A:E,5,FALSE)</f>
        <v>BG(–)</v>
      </c>
      <c r="P51" s="19" t="str">
        <f>VLOOKUP(aggregated_results!B51,representatives_list!A:D,3,FALSE)</f>
        <v>Pi</v>
      </c>
      <c r="Q51" s="19" t="str">
        <f>VLOOKUP(aggregated_results!B51,representatives_list!A:D,4,FALSE)</f>
        <v>d.220.1</v>
      </c>
      <c r="R51" s="19" t="s">
        <v>303</v>
      </c>
    </row>
    <row r="52" spans="1:18" x14ac:dyDescent="0.25">
      <c r="A52" t="s">
        <v>53</v>
      </c>
      <c r="B52" t="s">
        <v>45</v>
      </c>
      <c r="C52">
        <v>5.0999999999999996</v>
      </c>
      <c r="D52">
        <v>3.9</v>
      </c>
      <c r="E52">
        <v>137</v>
      </c>
      <c r="F52">
        <v>415</v>
      </c>
      <c r="G52">
        <v>10</v>
      </c>
      <c r="I52" t="str">
        <f t="shared" si="0"/>
        <v/>
      </c>
      <c r="J52" t="str">
        <f>VLOOKUP(aggregated_results!A52,representatives_list!A:D,4,FALSE)</f>
        <v>d.144.1</v>
      </c>
      <c r="K52" t="str">
        <f>VLOOKUP(aggregated_results!A52,representatives_list!A:D,3,FALSE)</f>
        <v>Pi</v>
      </c>
      <c r="L52" t="str">
        <f>VLOOKUP(aggregated_results!A52,representatives_list!A:E,5,FALSE)</f>
        <v>BG(–)</v>
      </c>
      <c r="M52" t="str">
        <f>VLOOKUP(A52,representatives_list!A:B,2,FALSE)</f>
        <v>Protein kinase-like (PK-like)</v>
      </c>
      <c r="N52" t="str">
        <f>VLOOKUP(B52,representatives_list!A:B,2,FALSE)</f>
        <v>SAICAR synthase-like</v>
      </c>
      <c r="O52" t="str">
        <f>VLOOKUP(aggregated_results!B52,representatives_list!A:E,5,FALSE)</f>
        <v>BG(–)</v>
      </c>
      <c r="P52" t="str">
        <f>VLOOKUP(aggregated_results!B52,representatives_list!A:D,3,FALSE)</f>
        <v>Pi</v>
      </c>
      <c r="Q52" t="str">
        <f>VLOOKUP(aggregated_results!B52,representatives_list!A:D,4,FALSE)</f>
        <v>d.143.1</v>
      </c>
    </row>
    <row r="53" spans="1:18" x14ac:dyDescent="0.25">
      <c r="A53" t="s">
        <v>19</v>
      </c>
      <c r="B53" t="s">
        <v>50</v>
      </c>
      <c r="C53">
        <v>5.0999999999999996</v>
      </c>
      <c r="D53">
        <v>3.8</v>
      </c>
      <c r="E53">
        <v>92</v>
      </c>
      <c r="F53">
        <v>417</v>
      </c>
      <c r="G53">
        <v>10</v>
      </c>
      <c r="I53" t="e">
        <f t="shared" si="0"/>
        <v>#N/A</v>
      </c>
      <c r="J53" t="str">
        <f>VLOOKUP(aggregated_results!A53,representatives_list!A:D,4,FALSE)</f>
        <v>N/A</v>
      </c>
      <c r="K53" t="str">
        <f>VLOOKUP(aggregated_results!A53,representatives_list!A:D,3,FALSE)</f>
        <v>PPi</v>
      </c>
      <c r="L53" t="str">
        <f>VLOOKUP(aggregated_results!A53,representatives_list!A:E,5,FALSE)</f>
        <v>N/A</v>
      </c>
      <c r="M53" t="str">
        <f>VLOOKUP(A53,representatives_list!A:B,2,FALSE)</f>
        <v>tRNA(Ile2) 2-agmatinylcytidine synthetase TiaS</v>
      </c>
      <c r="N53" t="str">
        <f>VLOOKUP(B53,representatives_list!A:B,2,FALSE)</f>
        <v>Nucleoside diphosphate kinase, NDK</v>
      </c>
      <c r="O53" t="str">
        <f>VLOOKUP(aggregated_results!B53,representatives_list!A:E,5,FALSE)</f>
        <v>ABG(+)</v>
      </c>
      <c r="P53" t="str">
        <f>VLOOKUP(aggregated_results!B53,representatives_list!A:D,3,FALSE)</f>
        <v>Pi</v>
      </c>
      <c r="Q53" t="str">
        <f>VLOOKUP(aggregated_results!B53,representatives_list!A:D,4,FALSE)</f>
        <v>d.58.6</v>
      </c>
    </row>
    <row r="54" spans="1:18" x14ac:dyDescent="0.25">
      <c r="A54" t="s">
        <v>27</v>
      </c>
      <c r="B54" t="s">
        <v>34</v>
      </c>
      <c r="C54">
        <v>5</v>
      </c>
      <c r="D54">
        <v>4.2</v>
      </c>
      <c r="E54">
        <v>145</v>
      </c>
      <c r="F54">
        <v>304</v>
      </c>
      <c r="G54">
        <v>12</v>
      </c>
      <c r="I54" t="str">
        <f t="shared" si="0"/>
        <v/>
      </c>
      <c r="J54" t="str">
        <f>VLOOKUP(aggregated_results!A54,representatives_list!A:D,4,FALSE)</f>
        <v>c.72.3</v>
      </c>
      <c r="K54" t="str">
        <f>VLOOKUP(aggregated_results!A54,representatives_list!A:D,3,FALSE)</f>
        <v>PPi</v>
      </c>
      <c r="L54" t="str">
        <f>VLOOKUP(aggregated_results!A54,representatives_list!A:E,5,FALSE)</f>
        <v>ABG(–)</v>
      </c>
      <c r="M54" t="str">
        <f>VLOOKUP(A54,representatives_list!A:B,2,FALSE)</f>
        <v>CoaB-like</v>
      </c>
      <c r="N54" t="str">
        <f>VLOOKUP(B54,representatives_list!A:B,2,FALSE)</f>
        <v>Tubulin nucleotide-binding domain-like</v>
      </c>
      <c r="O54" t="str">
        <f>VLOOKUP(aggregated_results!B54,representatives_list!A:E,5,FALSE)</f>
        <v>BG(–)</v>
      </c>
      <c r="P54" t="str">
        <f>VLOOKUP(aggregated_results!B54,representatives_list!A:D,3,FALSE)</f>
        <v>Pi</v>
      </c>
      <c r="Q54" t="str">
        <f>VLOOKUP(aggregated_results!B54,representatives_list!A:D,4,FALSE)</f>
        <v>c.32.1</v>
      </c>
    </row>
    <row r="55" spans="1:18" x14ac:dyDescent="0.25">
      <c r="A55" t="s">
        <v>28</v>
      </c>
      <c r="B55" t="s">
        <v>42</v>
      </c>
      <c r="C55">
        <v>5</v>
      </c>
      <c r="D55">
        <v>3</v>
      </c>
      <c r="E55">
        <v>91</v>
      </c>
      <c r="F55">
        <v>301</v>
      </c>
      <c r="G55">
        <v>13</v>
      </c>
      <c r="I55" t="str">
        <f t="shared" si="0"/>
        <v/>
      </c>
      <c r="J55" t="str">
        <f>VLOOKUP(aggregated_results!A55,representatives_list!A:D,4,FALSE)</f>
        <v>c.111.1</v>
      </c>
      <c r="K55" t="str">
        <f>VLOOKUP(aggregated_results!A55,representatives_list!A:D,3,FALSE)</f>
        <v>PPi</v>
      </c>
      <c r="L55" t="str">
        <f>VLOOKUP(aggregated_results!A55,representatives_list!A:E,5,FALSE)</f>
        <v>ABG(+)</v>
      </c>
      <c r="M55" t="str">
        <f>VLOOKUP(A55,representatives_list!A:B,2,FALSE)</f>
        <v>Activating enzymes of the ubiquitin-like proteins</v>
      </c>
      <c r="N55" t="str">
        <f>VLOOKUP(B55,representatives_list!A:B,2,FALSE)</f>
        <v>NAD kinase/diacylglycerol kinase-like</v>
      </c>
      <c r="O55" t="str">
        <f>VLOOKUP(aggregated_results!B55,representatives_list!A:E,5,FALSE)</f>
        <v>ABG(+)</v>
      </c>
      <c r="P55" t="str">
        <f>VLOOKUP(aggregated_results!B55,representatives_list!A:D,3,FALSE)</f>
        <v>Pi</v>
      </c>
      <c r="Q55" t="str">
        <f>VLOOKUP(aggregated_results!B55,representatives_list!A:D,4,FALSE)</f>
        <v>e.52.1</v>
      </c>
    </row>
    <row r="56" spans="1:18" x14ac:dyDescent="0.25">
      <c r="A56" t="s">
        <v>23</v>
      </c>
      <c r="B56" t="s">
        <v>42</v>
      </c>
      <c r="C56">
        <v>5</v>
      </c>
      <c r="D56">
        <v>5.3</v>
      </c>
      <c r="E56">
        <v>84</v>
      </c>
      <c r="F56">
        <v>307</v>
      </c>
      <c r="G56">
        <v>12</v>
      </c>
      <c r="I56" t="str">
        <f t="shared" si="0"/>
        <v/>
      </c>
      <c r="J56" t="str">
        <f>VLOOKUP(aggregated_results!A56,representatives_list!A:D,4,FALSE)</f>
        <v>c.72.2</v>
      </c>
      <c r="K56" t="str">
        <f>VLOOKUP(aggregated_results!A56,representatives_list!A:D,3,FALSE)</f>
        <v>Pi</v>
      </c>
      <c r="L56" t="str">
        <f>VLOOKUP(aggregated_results!A56,representatives_list!A:E,5,FALSE)</f>
        <v>BG(–)</v>
      </c>
      <c r="M56" t="str">
        <f>VLOOKUP(A56,representatives_list!A:B,2,FALSE)</f>
        <v>MurD-like peptide ligases, catalytic domain</v>
      </c>
      <c r="N56" t="str">
        <f>VLOOKUP(B56,representatives_list!A:B,2,FALSE)</f>
        <v>NAD kinase/diacylglycerol kinase-like</v>
      </c>
      <c r="O56" t="str">
        <f>VLOOKUP(aggregated_results!B56,representatives_list!A:E,5,FALSE)</f>
        <v>ABG(+)</v>
      </c>
      <c r="P56" t="str">
        <f>VLOOKUP(aggregated_results!B56,representatives_list!A:D,3,FALSE)</f>
        <v>Pi</v>
      </c>
      <c r="Q56" t="str">
        <f>VLOOKUP(aggregated_results!B56,representatives_list!A:D,4,FALSE)</f>
        <v>e.52.1</v>
      </c>
    </row>
    <row r="57" spans="1:18" x14ac:dyDescent="0.25">
      <c r="A57" t="s">
        <v>54</v>
      </c>
      <c r="B57" t="s">
        <v>36</v>
      </c>
      <c r="C57">
        <v>5</v>
      </c>
      <c r="D57">
        <v>4.2</v>
      </c>
      <c r="E57">
        <v>109</v>
      </c>
      <c r="F57">
        <v>317</v>
      </c>
      <c r="G57">
        <v>3</v>
      </c>
      <c r="I57" t="str">
        <f t="shared" si="0"/>
        <v/>
      </c>
      <c r="J57" t="str">
        <f>VLOOKUP(aggregated_results!A57,representatives_list!A:D,4,FALSE)</f>
        <v>d.142.1</v>
      </c>
      <c r="K57" t="str">
        <f>VLOOKUP(aggregated_results!A57,representatives_list!A:D,3,FALSE)</f>
        <v>Pi</v>
      </c>
      <c r="L57" t="str">
        <f>VLOOKUP(aggregated_results!A57,representatives_list!A:E,5,FALSE)</f>
        <v>BG(–)</v>
      </c>
      <c r="M57" t="str">
        <f>VLOOKUP(A57,representatives_list!A:B,2,FALSE)</f>
        <v>Glutathione synthetase ATP-binding domain-like</v>
      </c>
      <c r="N57" t="str">
        <f>VLOOKUP(B57,representatives_list!A:B,2,FALSE)</f>
        <v>P-loop containing nucleoside triphosphate hydrolases</v>
      </c>
      <c r="O57" t="str">
        <f>VLOOKUP(aggregated_results!B57,representatives_list!A:E,5,FALSE)</f>
        <v>BG(–)</v>
      </c>
      <c r="P57" t="str">
        <f>VLOOKUP(aggregated_results!B57,representatives_list!A:D,3,FALSE)</f>
        <v>Pi</v>
      </c>
      <c r="Q57" t="str">
        <f>VLOOKUP(aggregated_results!B57,representatives_list!A:D,4,FALSE)</f>
        <v>c.37.1</v>
      </c>
    </row>
    <row r="58" spans="1:18" x14ac:dyDescent="0.25">
      <c r="A58" t="s">
        <v>33</v>
      </c>
      <c r="B58" t="s">
        <v>24</v>
      </c>
      <c r="C58">
        <v>5</v>
      </c>
      <c r="D58">
        <v>3.3</v>
      </c>
      <c r="E58">
        <v>85</v>
      </c>
      <c r="F58">
        <v>530</v>
      </c>
      <c r="G58">
        <v>8</v>
      </c>
      <c r="I58" t="str">
        <f t="shared" si="0"/>
        <v/>
      </c>
      <c r="J58" t="str">
        <f>VLOOKUP(aggregated_results!A58,representatives_list!A:D,4,FALSE)</f>
        <v>e.23.1</v>
      </c>
      <c r="K58" t="str">
        <f>VLOOKUP(aggregated_results!A58,representatives_list!A:D,3,FALSE)</f>
        <v>PPi</v>
      </c>
      <c r="L58" t="str">
        <f>VLOOKUP(aggregated_results!A58,representatives_list!A:E,5,FALSE)</f>
        <v>BG(+)</v>
      </c>
      <c r="M58" t="str">
        <f>VLOOKUP(A58,representatives_list!A:B,2,FALSE)</f>
        <v>Acetyl-CoA synthetase-like</v>
      </c>
      <c r="N58" t="str">
        <f>VLOOKUP(B58,representatives_list!A:B,2,FALSE)</f>
        <v>Ribokinase-like</v>
      </c>
      <c r="O58" t="str">
        <f>VLOOKUP(aggregated_results!B58,representatives_list!A:E,5,FALSE)</f>
        <v>BG(–)</v>
      </c>
      <c r="P58" t="str">
        <f>VLOOKUP(aggregated_results!B58,representatives_list!A:D,3,FALSE)</f>
        <v>Pi</v>
      </c>
      <c r="Q58" t="str">
        <f>VLOOKUP(aggregated_results!B58,representatives_list!A:D,4,FALSE)</f>
        <v>c.72.1</v>
      </c>
    </row>
    <row r="59" spans="1:18" x14ac:dyDescent="0.25">
      <c r="A59" t="s">
        <v>55</v>
      </c>
      <c r="B59" t="s">
        <v>51</v>
      </c>
      <c r="C59">
        <v>5</v>
      </c>
      <c r="D59">
        <v>4.3</v>
      </c>
      <c r="E59">
        <v>119</v>
      </c>
      <c r="F59">
        <v>321</v>
      </c>
      <c r="G59">
        <v>11</v>
      </c>
      <c r="I59" t="str">
        <f t="shared" si="0"/>
        <v/>
      </c>
      <c r="J59" t="str">
        <f>VLOOKUP(aggregated_results!A59,representatives_list!A:D,4,FALSE)</f>
        <v>e.13.1</v>
      </c>
      <c r="K59" t="str">
        <f>VLOOKUP(aggregated_results!A59,representatives_list!A:D,3,FALSE)</f>
        <v>PPi</v>
      </c>
      <c r="L59" t="str">
        <f>VLOOKUP(aggregated_results!A59,representatives_list!A:E,5,FALSE)</f>
        <v>AB(–)</v>
      </c>
      <c r="M59" t="str">
        <f>VLOOKUP(A59,representatives_list!A:B,2,FALSE)</f>
        <v>DNA primase core</v>
      </c>
      <c r="N59" t="str">
        <f>VLOOKUP(B59,representatives_list!A:B,2,FALSE)</f>
        <v>DhaL-like</v>
      </c>
      <c r="O59" t="str">
        <f>VLOOKUP(aggregated_results!B59,representatives_list!A:E,5,FALSE)</f>
        <v>BG(–)</v>
      </c>
      <c r="P59" t="str">
        <f>VLOOKUP(aggregated_results!B59,representatives_list!A:D,3,FALSE)</f>
        <v>Pi</v>
      </c>
      <c r="Q59" t="str">
        <f>VLOOKUP(aggregated_results!B59,representatives_list!A:D,4,FALSE)</f>
        <v>a.208.1</v>
      </c>
    </row>
    <row r="60" spans="1:18" x14ac:dyDescent="0.25">
      <c r="A60" t="s">
        <v>31</v>
      </c>
      <c r="B60" t="s">
        <v>56</v>
      </c>
      <c r="C60">
        <v>5</v>
      </c>
      <c r="D60">
        <v>5.8</v>
      </c>
      <c r="E60">
        <v>112</v>
      </c>
      <c r="F60">
        <v>516</v>
      </c>
      <c r="G60">
        <v>11</v>
      </c>
      <c r="I60" t="str">
        <f t="shared" si="0"/>
        <v/>
      </c>
      <c r="J60" t="str">
        <f>VLOOKUP(aggregated_results!A60,representatives_list!A:D,4,FALSE)</f>
        <v>d.58.26</v>
      </c>
      <c r="K60" t="str">
        <f>VLOOKUP(aggregated_results!A60,representatives_list!A:D,3,FALSE)</f>
        <v>Pi</v>
      </c>
      <c r="L60" t="str">
        <f>VLOOKUP(aggregated_results!A60,representatives_list!A:E,5,FALSE)</f>
        <v>ABG(+)</v>
      </c>
      <c r="M60" t="str">
        <f>VLOOKUP(A60,representatives_list!A:B,2,FALSE)</f>
        <v>GHMP Kinase, C-terminal domain</v>
      </c>
      <c r="N60" t="str">
        <f>VLOOKUP(B60,representatives_list!A:B,2,FALSE)</f>
        <v>GroEL equatorial domain-like</v>
      </c>
      <c r="O60" t="str">
        <f>VLOOKUP(aggregated_results!B60,representatives_list!A:E,5,FALSE)</f>
        <v>ABG(+)</v>
      </c>
      <c r="P60" t="str">
        <f>VLOOKUP(aggregated_results!B60,representatives_list!A:D,3,FALSE)</f>
        <v>Pi</v>
      </c>
      <c r="Q60" t="str">
        <f>VLOOKUP(aggregated_results!B60,representatives_list!A:D,4,FALSE)</f>
        <v>a.129.1</v>
      </c>
    </row>
    <row r="61" spans="1:18" x14ac:dyDescent="0.25">
      <c r="A61" t="s">
        <v>25</v>
      </c>
      <c r="B61" t="s">
        <v>41</v>
      </c>
      <c r="C61">
        <v>5</v>
      </c>
      <c r="D61">
        <v>3.9</v>
      </c>
      <c r="E61">
        <v>84</v>
      </c>
      <c r="F61">
        <v>469</v>
      </c>
      <c r="G61">
        <v>13</v>
      </c>
      <c r="I61" t="str">
        <f t="shared" si="0"/>
        <v/>
      </c>
      <c r="J61" t="str">
        <f>VLOOKUP(aggregated_results!A61,representatives_list!A:D,4,FALSE)</f>
        <v>c.73.1</v>
      </c>
      <c r="K61" t="str">
        <f>VLOOKUP(aggregated_results!A61,representatives_list!A:D,3,FALSE)</f>
        <v>Pi</v>
      </c>
      <c r="L61" t="str">
        <f>VLOOKUP(aggregated_results!A61,representatives_list!A:E,5,FALSE)</f>
        <v>ABG(+)</v>
      </c>
      <c r="M61" t="str">
        <f>VLOOKUP(A61,representatives_list!A:B,2,FALSE)</f>
        <v>Carbamate kinase-like</v>
      </c>
      <c r="N61" t="str">
        <f>VLOOKUP(B61,representatives_list!A:B,2,FALSE)</f>
        <v>Molybdenum cofactor biosynthesis proteins</v>
      </c>
      <c r="O61" t="str">
        <f>VLOOKUP(aggregated_results!B61,representatives_list!A:E,5,FALSE)</f>
        <v>ABG(–)</v>
      </c>
      <c r="P61" t="str">
        <f>VLOOKUP(aggregated_results!B61,representatives_list!A:D,3,FALSE)</f>
        <v>Pi</v>
      </c>
      <c r="Q61" t="str">
        <f>VLOOKUP(aggregated_results!B61,representatives_list!A:D,4,FALSE)</f>
        <v>c.57.1</v>
      </c>
    </row>
    <row r="62" spans="1:18" x14ac:dyDescent="0.25">
      <c r="A62" t="s">
        <v>57</v>
      </c>
      <c r="B62" t="s">
        <v>51</v>
      </c>
      <c r="C62">
        <v>5</v>
      </c>
      <c r="D62">
        <v>3.3</v>
      </c>
      <c r="E62">
        <v>103</v>
      </c>
      <c r="F62">
        <v>168</v>
      </c>
      <c r="G62">
        <v>9</v>
      </c>
      <c r="I62" t="str">
        <f t="shared" si="0"/>
        <v/>
      </c>
      <c r="J62" t="str">
        <f>VLOOKUP(aggregated_results!A62,representatives_list!A:D,4,FALSE)</f>
        <v>c.144.1</v>
      </c>
      <c r="K62" t="str">
        <f>VLOOKUP(aggregated_results!A62,representatives_list!A:D,3,FALSE)</f>
        <v>PPi</v>
      </c>
      <c r="L62" t="str">
        <f>VLOOKUP(aggregated_results!A62,representatives_list!A:E,5,FALSE)</f>
        <v>AB</v>
      </c>
      <c r="M62" t="str">
        <f>VLOOKUP(A62,representatives_list!A:B,2,FALSE)</f>
        <v>RibA-like</v>
      </c>
      <c r="N62" t="str">
        <f>VLOOKUP(B62,representatives_list!A:B,2,FALSE)</f>
        <v>DhaL-like</v>
      </c>
      <c r="O62" t="str">
        <f>VLOOKUP(aggregated_results!B62,representatives_list!A:E,5,FALSE)</f>
        <v>BG(–)</v>
      </c>
      <c r="P62" t="str">
        <f>VLOOKUP(aggregated_results!B62,representatives_list!A:D,3,FALSE)</f>
        <v>Pi</v>
      </c>
      <c r="Q62" t="str">
        <f>VLOOKUP(aggregated_results!B62,representatives_list!A:D,4,FALSE)</f>
        <v>a.208.1</v>
      </c>
    </row>
    <row r="63" spans="1:18" x14ac:dyDescent="0.25">
      <c r="A63" t="s">
        <v>18</v>
      </c>
      <c r="B63" t="s">
        <v>25</v>
      </c>
      <c r="C63">
        <v>5</v>
      </c>
      <c r="D63">
        <v>3.1</v>
      </c>
      <c r="E63">
        <v>99</v>
      </c>
      <c r="F63">
        <v>192</v>
      </c>
      <c r="G63">
        <v>8</v>
      </c>
      <c r="I63" t="str">
        <f t="shared" si="0"/>
        <v/>
      </c>
      <c r="J63" t="str">
        <f>VLOOKUP(aggregated_results!A63,representatives_list!A:D,4,FALSE)</f>
        <v>d.58.29</v>
      </c>
      <c r="K63" t="str">
        <f>VLOOKUP(aggregated_results!A63,representatives_list!A:D,3,FALSE)</f>
        <v>PPi</v>
      </c>
      <c r="L63" t="str">
        <f>VLOOKUP(aggregated_results!A63,representatives_list!A:E,5,FALSE)</f>
        <v>ABG(–)</v>
      </c>
      <c r="M63" t="str">
        <f>VLOOKUP(A63,representatives_list!A:B,2,FALSE)</f>
        <v>Nucleotide cyclase</v>
      </c>
      <c r="N63" t="str">
        <f>VLOOKUP(B63,representatives_list!A:B,2,FALSE)</f>
        <v>Carbamate kinase-like</v>
      </c>
      <c r="O63" t="str">
        <f>VLOOKUP(aggregated_results!B63,representatives_list!A:E,5,FALSE)</f>
        <v>ABG(+)</v>
      </c>
      <c r="P63" t="str">
        <f>VLOOKUP(aggregated_results!B63,representatives_list!A:D,3,FALSE)</f>
        <v>Pi</v>
      </c>
      <c r="Q63" t="str">
        <f>VLOOKUP(aggregated_results!B63,representatives_list!A:D,4,FALSE)</f>
        <v>c.73.1</v>
      </c>
    </row>
    <row r="64" spans="1:18" x14ac:dyDescent="0.25">
      <c r="A64" t="s">
        <v>30</v>
      </c>
      <c r="B64" t="s">
        <v>23</v>
      </c>
      <c r="C64">
        <v>5</v>
      </c>
      <c r="D64">
        <v>4.5</v>
      </c>
      <c r="E64">
        <v>118</v>
      </c>
      <c r="F64">
        <v>371</v>
      </c>
      <c r="G64">
        <v>10</v>
      </c>
      <c r="I64" t="str">
        <f t="shared" si="0"/>
        <v/>
      </c>
      <c r="J64" t="str">
        <f>VLOOKUP(aggregated_results!A64,representatives_list!A:D,4,FALSE)</f>
        <v>c.141.1</v>
      </c>
      <c r="K64" t="str">
        <f>VLOOKUP(aggregated_results!A64,representatives_list!A:D,3,FALSE)</f>
        <v>Pi</v>
      </c>
      <c r="L64" t="str">
        <f>VLOOKUP(aggregated_results!A64,representatives_list!A:E,5,FALSE)</f>
        <v>N/A</v>
      </c>
      <c r="M64" t="str">
        <f>VLOOKUP(A64,representatives_list!A:B,2,FALSE)</f>
        <v>Glycerate kinase I</v>
      </c>
      <c r="N64" t="str">
        <f>VLOOKUP(B64,representatives_list!A:B,2,FALSE)</f>
        <v>MurD-like peptide ligases, catalytic domain</v>
      </c>
      <c r="O64" t="str">
        <f>VLOOKUP(aggregated_results!B64,representatives_list!A:E,5,FALSE)</f>
        <v>BG(–)</v>
      </c>
      <c r="P64" t="str">
        <f>VLOOKUP(aggregated_results!B64,representatives_list!A:D,3,FALSE)</f>
        <v>Pi</v>
      </c>
      <c r="Q64" t="str">
        <f>VLOOKUP(aggregated_results!B64,representatives_list!A:D,4,FALSE)</f>
        <v>c.72.2</v>
      </c>
    </row>
    <row r="65" spans="1:17" x14ac:dyDescent="0.25">
      <c r="A65" t="s">
        <v>29</v>
      </c>
      <c r="B65" t="s">
        <v>23</v>
      </c>
      <c r="C65">
        <v>4.9000000000000004</v>
      </c>
      <c r="D65">
        <v>3.6</v>
      </c>
      <c r="E65">
        <v>120</v>
      </c>
      <c r="F65">
        <v>309</v>
      </c>
      <c r="G65">
        <v>7</v>
      </c>
      <c r="I65" t="str">
        <f t="shared" si="0"/>
        <v/>
      </c>
      <c r="J65" t="str">
        <f>VLOOKUP(aggregated_results!A65,representatives_list!A:D,4,FALSE)</f>
        <v>c.61.1</v>
      </c>
      <c r="K65" t="str">
        <f>VLOOKUP(aggregated_results!A65,representatives_list!A:D,3,FALSE)</f>
        <v>PPi</v>
      </c>
      <c r="L65" t="str">
        <f>VLOOKUP(aggregated_results!A65,representatives_list!A:E,5,FALSE)</f>
        <v>ABG(+)</v>
      </c>
      <c r="M65" t="str">
        <f>VLOOKUP(A65,representatives_list!A:B,2,FALSE)</f>
        <v>PRTase-like</v>
      </c>
      <c r="N65" t="str">
        <f>VLOOKUP(B65,representatives_list!A:B,2,FALSE)</f>
        <v>MurD-like peptide ligases, catalytic domain</v>
      </c>
      <c r="O65" t="str">
        <f>VLOOKUP(aggregated_results!B65,representatives_list!A:E,5,FALSE)</f>
        <v>BG(–)</v>
      </c>
      <c r="P65" t="str">
        <f>VLOOKUP(aggregated_results!B65,representatives_list!A:D,3,FALSE)</f>
        <v>Pi</v>
      </c>
      <c r="Q65" t="str">
        <f>VLOOKUP(aggregated_results!B65,representatives_list!A:D,4,FALSE)</f>
        <v>c.72.2</v>
      </c>
    </row>
    <row r="66" spans="1:17" x14ac:dyDescent="0.25">
      <c r="A66" t="s">
        <v>27</v>
      </c>
      <c r="B66" t="s">
        <v>35</v>
      </c>
      <c r="C66">
        <v>4.9000000000000004</v>
      </c>
      <c r="D66">
        <v>3.7</v>
      </c>
      <c r="E66">
        <v>129</v>
      </c>
      <c r="F66">
        <v>304</v>
      </c>
      <c r="G66">
        <v>9</v>
      </c>
      <c r="I66" t="str">
        <f t="shared" si="0"/>
        <v/>
      </c>
      <c r="J66" t="str">
        <f>VLOOKUP(aggregated_results!A66,representatives_list!A:D,4,FALSE)</f>
        <v>c.72.3</v>
      </c>
      <c r="K66" t="str">
        <f>VLOOKUP(aggregated_results!A66,representatives_list!A:D,3,FALSE)</f>
        <v>PPi</v>
      </c>
      <c r="L66" t="str">
        <f>VLOOKUP(aggregated_results!A66,representatives_list!A:E,5,FALSE)</f>
        <v>ABG(–)</v>
      </c>
      <c r="M66" t="str">
        <f>VLOOKUP(A66,representatives_list!A:B,2,FALSE)</f>
        <v>CoaB-like</v>
      </c>
      <c r="N66" t="str">
        <f>VLOOKUP(B66,representatives_list!A:B,2,FALSE)</f>
        <v>Phosphoglycerate kinase</v>
      </c>
      <c r="O66" t="str">
        <f>VLOOKUP(aggregated_results!B66,representatives_list!A:E,5,FALSE)</f>
        <v>ABG(–)</v>
      </c>
      <c r="P66" t="str">
        <f>VLOOKUP(aggregated_results!B66,representatives_list!A:D,3,FALSE)</f>
        <v>Pi</v>
      </c>
      <c r="Q66" t="str">
        <f>VLOOKUP(aggregated_results!B66,representatives_list!A:D,4,FALSE)</f>
        <v>c.86.1</v>
      </c>
    </row>
    <row r="67" spans="1:17" x14ac:dyDescent="0.25">
      <c r="A67" t="s">
        <v>23</v>
      </c>
      <c r="B67" t="s">
        <v>34</v>
      </c>
      <c r="C67">
        <v>4.9000000000000004</v>
      </c>
      <c r="D67">
        <v>3.7</v>
      </c>
      <c r="E67">
        <v>139</v>
      </c>
      <c r="F67">
        <v>307</v>
      </c>
      <c r="G67">
        <v>11</v>
      </c>
      <c r="I67" t="str">
        <f t="shared" ref="I67:I130" si="1">IF(_xlfn.TEXTBEFORE(J67,".",2,0,1)=_xlfn.TEXTBEFORE(Q67,".",2,0,1),"x","")</f>
        <v/>
      </c>
      <c r="J67" t="str">
        <f>VLOOKUP(aggregated_results!A67,representatives_list!A:D,4,FALSE)</f>
        <v>c.72.2</v>
      </c>
      <c r="K67" t="str">
        <f>VLOOKUP(aggregated_results!A67,representatives_list!A:D,3,FALSE)</f>
        <v>Pi</v>
      </c>
      <c r="L67" t="str">
        <f>VLOOKUP(aggregated_results!A67,representatives_list!A:E,5,FALSE)</f>
        <v>BG(–)</v>
      </c>
      <c r="M67" t="str">
        <f>VLOOKUP(A67,representatives_list!A:B,2,FALSE)</f>
        <v>MurD-like peptide ligases, catalytic domain</v>
      </c>
      <c r="N67" t="str">
        <f>VLOOKUP(B67,representatives_list!A:B,2,FALSE)</f>
        <v>Tubulin nucleotide-binding domain-like</v>
      </c>
      <c r="O67" t="str">
        <f>VLOOKUP(aggregated_results!B67,representatives_list!A:E,5,FALSE)</f>
        <v>BG(–)</v>
      </c>
      <c r="P67" t="str">
        <f>VLOOKUP(aggregated_results!B67,representatives_list!A:D,3,FALSE)</f>
        <v>Pi</v>
      </c>
      <c r="Q67" t="str">
        <f>VLOOKUP(aggregated_results!B67,representatives_list!A:D,4,FALSE)</f>
        <v>c.32.1</v>
      </c>
    </row>
    <row r="68" spans="1:17" x14ac:dyDescent="0.25">
      <c r="A68" t="s">
        <v>27</v>
      </c>
      <c r="B68" t="s">
        <v>36</v>
      </c>
      <c r="C68">
        <v>4.8</v>
      </c>
      <c r="D68">
        <v>3.6</v>
      </c>
      <c r="E68">
        <v>115</v>
      </c>
      <c r="F68">
        <v>304</v>
      </c>
      <c r="G68">
        <v>5</v>
      </c>
      <c r="I68" t="str">
        <f t="shared" si="1"/>
        <v/>
      </c>
      <c r="J68" t="str">
        <f>VLOOKUP(aggregated_results!A68,representatives_list!A:D,4,FALSE)</f>
        <v>c.72.3</v>
      </c>
      <c r="K68" t="str">
        <f>VLOOKUP(aggregated_results!A68,representatives_list!A:D,3,FALSE)</f>
        <v>PPi</v>
      </c>
      <c r="L68" t="str">
        <f>VLOOKUP(aggregated_results!A68,representatives_list!A:E,5,FALSE)</f>
        <v>ABG(–)</v>
      </c>
      <c r="M68" t="str">
        <f>VLOOKUP(A68,representatives_list!A:B,2,FALSE)</f>
        <v>CoaB-like</v>
      </c>
      <c r="N68" t="str">
        <f>VLOOKUP(B68,representatives_list!A:B,2,FALSE)</f>
        <v>P-loop containing nucleoside triphosphate hydrolases</v>
      </c>
      <c r="O68" t="str">
        <f>VLOOKUP(aggregated_results!B68,representatives_list!A:E,5,FALSE)</f>
        <v>BG(–)</v>
      </c>
      <c r="P68" t="str">
        <f>VLOOKUP(aggregated_results!B68,representatives_list!A:D,3,FALSE)</f>
        <v>Pi</v>
      </c>
      <c r="Q68" t="str">
        <f>VLOOKUP(aggregated_results!B68,representatives_list!A:D,4,FALSE)</f>
        <v>c.37.1</v>
      </c>
    </row>
    <row r="69" spans="1:17" x14ac:dyDescent="0.25">
      <c r="A69" t="s">
        <v>33</v>
      </c>
      <c r="B69" t="s">
        <v>51</v>
      </c>
      <c r="C69">
        <v>4.8</v>
      </c>
      <c r="D69">
        <v>12.7</v>
      </c>
      <c r="E69">
        <v>119</v>
      </c>
      <c r="F69">
        <v>530</v>
      </c>
      <c r="G69">
        <v>7</v>
      </c>
      <c r="I69" t="str">
        <f t="shared" si="1"/>
        <v/>
      </c>
      <c r="J69" t="str">
        <f>VLOOKUP(aggregated_results!A69,representatives_list!A:D,4,FALSE)</f>
        <v>e.23.1</v>
      </c>
      <c r="K69" t="str">
        <f>VLOOKUP(aggregated_results!A69,representatives_list!A:D,3,FALSE)</f>
        <v>PPi</v>
      </c>
      <c r="L69" t="str">
        <f>VLOOKUP(aggregated_results!A69,representatives_list!A:E,5,FALSE)</f>
        <v>BG(+)</v>
      </c>
      <c r="M69" t="str">
        <f>VLOOKUP(A69,representatives_list!A:B,2,FALSE)</f>
        <v>Acetyl-CoA synthetase-like</v>
      </c>
      <c r="N69" t="str">
        <f>VLOOKUP(B69,representatives_list!A:B,2,FALSE)</f>
        <v>DhaL-like</v>
      </c>
      <c r="O69" t="str">
        <f>VLOOKUP(aggregated_results!B69,representatives_list!A:E,5,FALSE)</f>
        <v>BG(–)</v>
      </c>
      <c r="P69" t="str">
        <f>VLOOKUP(aggregated_results!B69,representatives_list!A:D,3,FALSE)</f>
        <v>Pi</v>
      </c>
      <c r="Q69" t="str">
        <f>VLOOKUP(aggregated_results!B69,representatives_list!A:D,4,FALSE)</f>
        <v>a.208.1</v>
      </c>
    </row>
    <row r="70" spans="1:17" x14ac:dyDescent="0.25">
      <c r="A70" t="s">
        <v>29</v>
      </c>
      <c r="B70" t="s">
        <v>27</v>
      </c>
      <c r="C70">
        <v>4.7</v>
      </c>
      <c r="D70">
        <v>3.6</v>
      </c>
      <c r="E70">
        <v>117</v>
      </c>
      <c r="F70">
        <v>309</v>
      </c>
      <c r="G70">
        <v>14</v>
      </c>
      <c r="I70" t="str">
        <f t="shared" si="1"/>
        <v/>
      </c>
      <c r="J70" t="str">
        <f>VLOOKUP(aggregated_results!A70,representatives_list!A:D,4,FALSE)</f>
        <v>c.61.1</v>
      </c>
      <c r="K70" t="str">
        <f>VLOOKUP(aggregated_results!A70,representatives_list!A:D,3,FALSE)</f>
        <v>PPi</v>
      </c>
      <c r="L70" t="str">
        <f>VLOOKUP(aggregated_results!A70,representatives_list!A:E,5,FALSE)</f>
        <v>ABG(+)</v>
      </c>
      <c r="M70" t="str">
        <f>VLOOKUP(A70,representatives_list!A:B,2,FALSE)</f>
        <v>PRTase-like</v>
      </c>
      <c r="N70" t="str">
        <f>VLOOKUP(B70,representatives_list!A:B,2,FALSE)</f>
        <v>CoaB-like</v>
      </c>
      <c r="O70" t="str">
        <f>VLOOKUP(aggregated_results!B70,representatives_list!A:E,5,FALSE)</f>
        <v>ABG(–)</v>
      </c>
      <c r="P70" t="str">
        <f>VLOOKUP(aggregated_results!B70,representatives_list!A:D,3,FALSE)</f>
        <v>PPi</v>
      </c>
      <c r="Q70" t="str">
        <f>VLOOKUP(aggregated_results!B70,representatives_list!A:D,4,FALSE)</f>
        <v>c.72.3</v>
      </c>
    </row>
    <row r="71" spans="1:17" x14ac:dyDescent="0.25">
      <c r="A71" t="s">
        <v>28</v>
      </c>
      <c r="B71" t="s">
        <v>36</v>
      </c>
      <c r="C71">
        <v>4.7</v>
      </c>
      <c r="D71">
        <v>3.5</v>
      </c>
      <c r="E71">
        <v>104</v>
      </c>
      <c r="F71">
        <v>301</v>
      </c>
      <c r="G71">
        <v>12</v>
      </c>
      <c r="I71" t="str">
        <f t="shared" si="1"/>
        <v/>
      </c>
      <c r="J71" t="str">
        <f>VLOOKUP(aggregated_results!A71,representatives_list!A:D,4,FALSE)</f>
        <v>c.111.1</v>
      </c>
      <c r="K71" t="str">
        <f>VLOOKUP(aggregated_results!A71,representatives_list!A:D,3,FALSE)</f>
        <v>PPi</v>
      </c>
      <c r="L71" t="str">
        <f>VLOOKUP(aggregated_results!A71,representatives_list!A:E,5,FALSE)</f>
        <v>ABG(+)</v>
      </c>
      <c r="M71" t="str">
        <f>VLOOKUP(A71,representatives_list!A:B,2,FALSE)</f>
        <v>Activating enzymes of the ubiquitin-like proteins</v>
      </c>
      <c r="N71" t="str">
        <f>VLOOKUP(B71,representatives_list!A:B,2,FALSE)</f>
        <v>P-loop containing nucleoside triphosphate hydrolases</v>
      </c>
      <c r="O71" t="str">
        <f>VLOOKUP(aggregated_results!B71,representatives_list!A:E,5,FALSE)</f>
        <v>BG(–)</v>
      </c>
      <c r="P71" t="str">
        <f>VLOOKUP(aggregated_results!B71,representatives_list!A:D,3,FALSE)</f>
        <v>Pi</v>
      </c>
      <c r="Q71" t="str">
        <f>VLOOKUP(aggregated_results!B71,representatives_list!A:D,4,FALSE)</f>
        <v>c.37.1</v>
      </c>
    </row>
    <row r="72" spans="1:17" x14ac:dyDescent="0.25">
      <c r="A72" t="s">
        <v>18</v>
      </c>
      <c r="B72" t="s">
        <v>31</v>
      </c>
      <c r="C72">
        <v>4.7</v>
      </c>
      <c r="D72">
        <v>4</v>
      </c>
      <c r="E72">
        <v>91</v>
      </c>
      <c r="F72">
        <v>192</v>
      </c>
      <c r="G72">
        <v>8</v>
      </c>
      <c r="I72" t="str">
        <f t="shared" si="1"/>
        <v>x</v>
      </c>
      <c r="J72" t="str">
        <f>VLOOKUP(aggregated_results!A72,representatives_list!A:D,4,FALSE)</f>
        <v>d.58.29</v>
      </c>
      <c r="K72" t="str">
        <f>VLOOKUP(aggregated_results!A72,representatives_list!A:D,3,FALSE)</f>
        <v>PPi</v>
      </c>
      <c r="L72" t="str">
        <f>VLOOKUP(aggregated_results!A72,representatives_list!A:E,5,FALSE)</f>
        <v>ABG(–)</v>
      </c>
      <c r="M72" t="str">
        <f>VLOOKUP(A72,representatives_list!A:B,2,FALSE)</f>
        <v>Nucleotide cyclase</v>
      </c>
      <c r="N72" t="str">
        <f>VLOOKUP(B72,representatives_list!A:B,2,FALSE)</f>
        <v>GHMP Kinase, C-terminal domain</v>
      </c>
      <c r="O72" t="str">
        <f>VLOOKUP(aggregated_results!B72,representatives_list!A:E,5,FALSE)</f>
        <v>ABG(+)</v>
      </c>
      <c r="P72" t="str">
        <f>VLOOKUP(aggregated_results!B72,representatives_list!A:D,3,FALSE)</f>
        <v>Pi</v>
      </c>
      <c r="Q72" t="str">
        <f>VLOOKUP(aggregated_results!B72,representatives_list!A:D,4,FALSE)</f>
        <v>d.58.26</v>
      </c>
    </row>
    <row r="73" spans="1:17" x14ac:dyDescent="0.25">
      <c r="A73" t="s">
        <v>34</v>
      </c>
      <c r="B73" t="s">
        <v>35</v>
      </c>
      <c r="C73">
        <v>4.5999999999999996</v>
      </c>
      <c r="D73">
        <v>3.6</v>
      </c>
      <c r="E73">
        <v>139</v>
      </c>
      <c r="F73">
        <v>426</v>
      </c>
      <c r="G73">
        <v>10</v>
      </c>
      <c r="I73" t="str">
        <f t="shared" si="1"/>
        <v/>
      </c>
      <c r="J73" t="str">
        <f>VLOOKUP(aggregated_results!A73,representatives_list!A:D,4,FALSE)</f>
        <v>c.32.1</v>
      </c>
      <c r="K73" t="str">
        <f>VLOOKUP(aggregated_results!A73,representatives_list!A:D,3,FALSE)</f>
        <v>Pi</v>
      </c>
      <c r="L73" t="str">
        <f>VLOOKUP(aggregated_results!A73,representatives_list!A:E,5,FALSE)</f>
        <v>BG(–)</v>
      </c>
      <c r="M73" t="str">
        <f>VLOOKUP(A73,representatives_list!A:B,2,FALSE)</f>
        <v>Tubulin nucleotide-binding domain-like</v>
      </c>
      <c r="N73" t="str">
        <f>VLOOKUP(B73,representatives_list!A:B,2,FALSE)</f>
        <v>Phosphoglycerate kinase</v>
      </c>
      <c r="O73" t="str">
        <f>VLOOKUP(aggregated_results!B73,representatives_list!A:E,5,FALSE)</f>
        <v>ABG(–)</v>
      </c>
      <c r="P73" t="str">
        <f>VLOOKUP(aggregated_results!B73,representatives_list!A:D,3,FALSE)</f>
        <v>Pi</v>
      </c>
      <c r="Q73" t="str">
        <f>VLOOKUP(aggregated_results!B73,representatives_list!A:D,4,FALSE)</f>
        <v>c.86.1</v>
      </c>
    </row>
    <row r="74" spans="1:17" x14ac:dyDescent="0.25">
      <c r="A74" t="s">
        <v>49</v>
      </c>
      <c r="B74" t="s">
        <v>41</v>
      </c>
      <c r="C74">
        <v>4.5999999999999996</v>
      </c>
      <c r="D74">
        <v>11.2</v>
      </c>
      <c r="E74">
        <v>106</v>
      </c>
      <c r="F74">
        <v>745</v>
      </c>
      <c r="G74">
        <v>6</v>
      </c>
      <c r="I74" t="e">
        <f t="shared" si="1"/>
        <v>#N/A</v>
      </c>
      <c r="J74" t="str">
        <f>VLOOKUP(aggregated_results!A74,representatives_list!A:D,4,FALSE)</f>
        <v>N/A</v>
      </c>
      <c r="K74" t="str">
        <f>VLOOKUP(aggregated_results!A74,representatives_list!A:D,3,FALSE)</f>
        <v>PPi</v>
      </c>
      <c r="L74" t="str">
        <f>VLOOKUP(aggregated_results!A74,representatives_list!A:E,5,FALSE)</f>
        <v>ABG(–)</v>
      </c>
      <c r="M74" t="str">
        <f>VLOOKUP(A74,representatives_list!A:B,2,FALSE)</f>
        <v>Influenza RNA-dependent RNA polymerase subunit PB1</v>
      </c>
      <c r="N74" t="str">
        <f>VLOOKUP(B74,representatives_list!A:B,2,FALSE)</f>
        <v>Molybdenum cofactor biosynthesis proteins</v>
      </c>
      <c r="O74" t="str">
        <f>VLOOKUP(aggregated_results!B74,representatives_list!A:E,5,FALSE)</f>
        <v>ABG(–)</v>
      </c>
      <c r="P74" t="str">
        <f>VLOOKUP(aggregated_results!B74,representatives_list!A:D,3,FALSE)</f>
        <v>Pi</v>
      </c>
      <c r="Q74" t="str">
        <f>VLOOKUP(aggregated_results!B74,representatives_list!A:D,4,FALSE)</f>
        <v>c.57.1</v>
      </c>
    </row>
    <row r="75" spans="1:17" x14ac:dyDescent="0.25">
      <c r="A75" t="s">
        <v>19</v>
      </c>
      <c r="B75" t="s">
        <v>21</v>
      </c>
      <c r="C75">
        <v>4.5999999999999996</v>
      </c>
      <c r="D75">
        <v>14.3</v>
      </c>
      <c r="E75">
        <v>149</v>
      </c>
      <c r="F75">
        <v>417</v>
      </c>
      <c r="G75">
        <v>9</v>
      </c>
      <c r="I75" t="e">
        <f t="shared" si="1"/>
        <v>#N/A</v>
      </c>
      <c r="J75" t="str">
        <f>VLOOKUP(aggregated_results!A75,representatives_list!A:D,4,FALSE)</f>
        <v>N/A</v>
      </c>
      <c r="K75" t="str">
        <f>VLOOKUP(aggregated_results!A75,representatives_list!A:D,3,FALSE)</f>
        <v>PPi</v>
      </c>
      <c r="L75" t="str">
        <f>VLOOKUP(aggregated_results!A75,representatives_list!A:E,5,FALSE)</f>
        <v>N/A</v>
      </c>
      <c r="M75" t="str">
        <f>VLOOKUP(A75,representatives_list!A:B,2,FALSE)</f>
        <v>tRNA(Ile2) 2-agmatinylcytidine synthetase TiaS</v>
      </c>
      <c r="N75" t="str">
        <f>VLOOKUP(B75,representatives_list!A:B,2,FALSE)</f>
        <v>YrdC/RibB</v>
      </c>
      <c r="O75" t="str">
        <f>VLOOKUP(aggregated_results!B75,representatives_list!A:E,5,FALSE)</f>
        <v>ABG(–)</v>
      </c>
      <c r="P75" t="str">
        <f>VLOOKUP(aggregated_results!B75,representatives_list!A:D,3,FALSE)</f>
        <v>PPi</v>
      </c>
      <c r="Q75" t="str">
        <f>VLOOKUP(aggregated_results!B75,representatives_list!A:D,4,FALSE)</f>
        <v>d.115.1</v>
      </c>
    </row>
    <row r="76" spans="1:17" x14ac:dyDescent="0.25">
      <c r="A76" t="s">
        <v>19</v>
      </c>
      <c r="B76" t="s">
        <v>25</v>
      </c>
      <c r="C76">
        <v>4.5999999999999996</v>
      </c>
      <c r="D76">
        <v>6.1</v>
      </c>
      <c r="E76">
        <v>92</v>
      </c>
      <c r="F76">
        <v>417</v>
      </c>
      <c r="G76">
        <v>11</v>
      </c>
      <c r="I76" t="e">
        <f t="shared" si="1"/>
        <v>#N/A</v>
      </c>
      <c r="J76" t="str">
        <f>VLOOKUP(aggregated_results!A76,representatives_list!A:D,4,FALSE)</f>
        <v>N/A</v>
      </c>
      <c r="K76" t="str">
        <f>VLOOKUP(aggregated_results!A76,representatives_list!A:D,3,FALSE)</f>
        <v>PPi</v>
      </c>
      <c r="L76" t="str">
        <f>VLOOKUP(aggregated_results!A76,representatives_list!A:E,5,FALSE)</f>
        <v>N/A</v>
      </c>
      <c r="M76" t="str">
        <f>VLOOKUP(A76,representatives_list!A:B,2,FALSE)</f>
        <v>tRNA(Ile2) 2-agmatinylcytidine synthetase TiaS</v>
      </c>
      <c r="N76" t="str">
        <f>VLOOKUP(B76,representatives_list!A:B,2,FALSE)</f>
        <v>Carbamate kinase-like</v>
      </c>
      <c r="O76" t="str">
        <f>VLOOKUP(aggregated_results!B76,representatives_list!A:E,5,FALSE)</f>
        <v>ABG(+)</v>
      </c>
      <c r="P76" t="str">
        <f>VLOOKUP(aggregated_results!B76,representatives_list!A:D,3,FALSE)</f>
        <v>Pi</v>
      </c>
      <c r="Q76" t="str">
        <f>VLOOKUP(aggregated_results!B76,representatives_list!A:D,4,FALSE)</f>
        <v>c.73.1</v>
      </c>
    </row>
    <row r="77" spans="1:17" x14ac:dyDescent="0.25">
      <c r="A77" t="s">
        <v>39</v>
      </c>
      <c r="B77" t="s">
        <v>58</v>
      </c>
      <c r="C77">
        <v>4.5999999999999996</v>
      </c>
      <c r="D77">
        <v>6.6</v>
      </c>
      <c r="E77">
        <v>76</v>
      </c>
      <c r="F77">
        <v>485</v>
      </c>
      <c r="G77">
        <v>4</v>
      </c>
      <c r="I77" t="str">
        <f t="shared" si="1"/>
        <v/>
      </c>
      <c r="J77" t="str">
        <f>VLOOKUP(aggregated_results!A77,representatives_list!A:D,4,FALSE)</f>
        <v>e.41.1</v>
      </c>
      <c r="K77" t="str">
        <f>VLOOKUP(aggregated_results!A77,representatives_list!A:D,3,FALSE)</f>
        <v>PPi</v>
      </c>
      <c r="L77" t="str">
        <f>VLOOKUP(aggregated_results!A77,representatives_list!A:E,5,FALSE)</f>
        <v>AB(–)</v>
      </c>
      <c r="M77" t="str">
        <f>VLOOKUP(A77,representatives_list!A:B,2,FALSE)</f>
        <v>Adenylylcyclase toxin (the edema factor)</v>
      </c>
      <c r="N77" t="str">
        <f>VLOOKUP(B77,representatives_list!A:B,2,FALSE)</f>
        <v>Diacylglycerol kinase (DgkA)-like</v>
      </c>
      <c r="O77" t="str">
        <f>VLOOKUP(aggregated_results!B77,representatives_list!A:E,5,FALSE)</f>
        <v>BG(–)</v>
      </c>
      <c r="P77" t="str">
        <f>VLOOKUP(aggregated_results!B77,representatives_list!A:D,3,FALSE)</f>
        <v>Pi</v>
      </c>
      <c r="Q77" t="str">
        <f>VLOOKUP(aggregated_results!B77,representatives_list!A:D,4,FALSE)</f>
        <v>f.62.1</v>
      </c>
    </row>
    <row r="78" spans="1:17" x14ac:dyDescent="0.25">
      <c r="A78" t="s">
        <v>50</v>
      </c>
      <c r="B78" t="s">
        <v>25</v>
      </c>
      <c r="C78">
        <v>4.5999999999999996</v>
      </c>
      <c r="D78">
        <v>3</v>
      </c>
      <c r="E78">
        <v>82</v>
      </c>
      <c r="F78">
        <v>150</v>
      </c>
      <c r="G78">
        <v>11</v>
      </c>
      <c r="I78" t="str">
        <f t="shared" si="1"/>
        <v/>
      </c>
      <c r="J78" t="str">
        <f>VLOOKUP(aggregated_results!A78,representatives_list!A:D,4,FALSE)</f>
        <v>d.58.6</v>
      </c>
      <c r="K78" t="str">
        <f>VLOOKUP(aggregated_results!A78,representatives_list!A:D,3,FALSE)</f>
        <v>Pi</v>
      </c>
      <c r="L78" t="str">
        <f>VLOOKUP(aggregated_results!A78,representatives_list!A:E,5,FALSE)</f>
        <v>ABG(+)</v>
      </c>
      <c r="M78" t="str">
        <f>VLOOKUP(A78,representatives_list!A:B,2,FALSE)</f>
        <v>Nucleoside diphosphate kinase, NDK</v>
      </c>
      <c r="N78" t="str">
        <f>VLOOKUP(B78,representatives_list!A:B,2,FALSE)</f>
        <v>Carbamate kinase-like</v>
      </c>
      <c r="O78" t="str">
        <f>VLOOKUP(aggregated_results!B78,representatives_list!A:E,5,FALSE)</f>
        <v>ABG(+)</v>
      </c>
      <c r="P78" t="str">
        <f>VLOOKUP(aggregated_results!B78,representatives_list!A:D,3,FALSE)</f>
        <v>Pi</v>
      </c>
      <c r="Q78" t="str">
        <f>VLOOKUP(aggregated_results!B78,representatives_list!A:D,4,FALSE)</f>
        <v>c.73.1</v>
      </c>
    </row>
    <row r="79" spans="1:17" x14ac:dyDescent="0.25">
      <c r="A79" t="s">
        <v>59</v>
      </c>
      <c r="B79" t="s">
        <v>41</v>
      </c>
      <c r="C79">
        <v>4.5</v>
      </c>
      <c r="D79">
        <v>3.5</v>
      </c>
      <c r="E79">
        <v>78</v>
      </c>
      <c r="F79">
        <v>176</v>
      </c>
      <c r="G79">
        <v>15</v>
      </c>
      <c r="I79" t="str">
        <f t="shared" si="1"/>
        <v/>
      </c>
      <c r="J79" t="str">
        <f>VLOOKUP(aggregated_results!A79,representatives_list!A:D,4,FALSE)</f>
        <v>d.63.1</v>
      </c>
      <c r="K79" t="str">
        <f>VLOOKUP(aggregated_results!A79,representatives_list!A:D,3,FALSE)</f>
        <v>Pi</v>
      </c>
      <c r="L79" t="str">
        <f>VLOOKUP(aggregated_results!A79,representatives_list!A:E,5,FALSE)</f>
        <v>ABG(+)</v>
      </c>
      <c r="M79" t="str">
        <f>VLOOKUP(A79,representatives_list!A:B,2,FALSE)</f>
        <v>CYTH-like phosphatases</v>
      </c>
      <c r="N79" t="str">
        <f>VLOOKUP(B79,representatives_list!A:B,2,FALSE)</f>
        <v>Molybdenum cofactor biosynthesis proteins</v>
      </c>
      <c r="O79" t="str">
        <f>VLOOKUP(aggregated_results!B79,representatives_list!A:E,5,FALSE)</f>
        <v>ABG(–)</v>
      </c>
      <c r="P79" t="str">
        <f>VLOOKUP(aggregated_results!B79,representatives_list!A:D,3,FALSE)</f>
        <v>Pi</v>
      </c>
      <c r="Q79" t="str">
        <f>VLOOKUP(aggregated_results!B79,representatives_list!A:D,4,FALSE)</f>
        <v>c.57.1</v>
      </c>
    </row>
    <row r="80" spans="1:17" x14ac:dyDescent="0.25">
      <c r="A80" t="s">
        <v>60</v>
      </c>
      <c r="B80" t="s">
        <v>61</v>
      </c>
      <c r="C80">
        <v>4.5</v>
      </c>
      <c r="D80">
        <v>10.1</v>
      </c>
      <c r="E80">
        <v>83</v>
      </c>
      <c r="F80">
        <v>1095</v>
      </c>
      <c r="G80">
        <v>16</v>
      </c>
      <c r="I80" t="e">
        <f t="shared" si="1"/>
        <v>#N/A</v>
      </c>
      <c r="J80" t="str">
        <f>VLOOKUP(aggregated_results!A80,representatives_list!A:D,4,FALSE)</f>
        <v>N/A</v>
      </c>
      <c r="K80" t="str">
        <f>VLOOKUP(aggregated_results!A80,representatives_list!A:D,3,FALSE)</f>
        <v>PPi</v>
      </c>
      <c r="L80" t="str">
        <f>VLOOKUP(aggregated_results!A80,representatives_list!A:E,5,FALSE)</f>
        <v>ABG(+)</v>
      </c>
      <c r="M80" t="str">
        <f>VLOOKUP(A80,representatives_list!A:B,2,FALSE)</f>
        <v>Virion DNA-directed RNA polymerase domain</v>
      </c>
      <c r="N80" t="str">
        <f>VLOOKUP(B80,representatives_list!A:B,2,FALSE)</f>
        <v>Riboflavin kinase-like</v>
      </c>
      <c r="O80" t="str">
        <f>VLOOKUP(aggregated_results!B80,representatives_list!A:E,5,FALSE)</f>
        <v>ABG(+)</v>
      </c>
      <c r="P80" t="str">
        <f>VLOOKUP(aggregated_results!B80,representatives_list!A:D,3,FALSE)</f>
        <v>Pi</v>
      </c>
      <c r="Q80" t="str">
        <f>VLOOKUP(aggregated_results!B80,representatives_list!A:D,4,FALSE)</f>
        <v>b.43.5</v>
      </c>
    </row>
    <row r="81" spans="1:17" x14ac:dyDescent="0.25">
      <c r="A81" t="s">
        <v>21</v>
      </c>
      <c r="B81" t="s">
        <v>31</v>
      </c>
      <c r="C81">
        <v>4.5</v>
      </c>
      <c r="D81">
        <v>7.3</v>
      </c>
      <c r="E81">
        <v>73</v>
      </c>
      <c r="F81">
        <v>753</v>
      </c>
      <c r="G81">
        <v>7</v>
      </c>
      <c r="I81" t="str">
        <f t="shared" si="1"/>
        <v/>
      </c>
      <c r="J81" t="str">
        <f>VLOOKUP(aggregated_results!A81,representatives_list!A:D,4,FALSE)</f>
        <v>d.115.1</v>
      </c>
      <c r="K81" t="str">
        <f>VLOOKUP(aggregated_results!A81,representatives_list!A:D,3,FALSE)</f>
        <v>PPi</v>
      </c>
      <c r="L81" t="str">
        <f>VLOOKUP(aggregated_results!A81,representatives_list!A:E,5,FALSE)</f>
        <v>ABG(–)</v>
      </c>
      <c r="M81" t="str">
        <f>VLOOKUP(A81,representatives_list!A:B,2,FALSE)</f>
        <v>YrdC/RibB</v>
      </c>
      <c r="N81" t="str">
        <f>VLOOKUP(B81,representatives_list!A:B,2,FALSE)</f>
        <v>GHMP Kinase, C-terminal domain</v>
      </c>
      <c r="O81" t="str">
        <f>VLOOKUP(aggregated_results!B81,representatives_list!A:E,5,FALSE)</f>
        <v>ABG(+)</v>
      </c>
      <c r="P81" t="str">
        <f>VLOOKUP(aggregated_results!B81,representatives_list!A:D,3,FALSE)</f>
        <v>Pi</v>
      </c>
      <c r="Q81" t="str">
        <f>VLOOKUP(aggregated_results!B81,representatives_list!A:D,4,FALSE)</f>
        <v>d.58.26</v>
      </c>
    </row>
    <row r="82" spans="1:17" x14ac:dyDescent="0.25">
      <c r="A82" t="s">
        <v>44</v>
      </c>
      <c r="B82" t="s">
        <v>53</v>
      </c>
      <c r="C82">
        <v>4.5</v>
      </c>
      <c r="D82">
        <v>3.7</v>
      </c>
      <c r="E82">
        <v>151</v>
      </c>
      <c r="F82">
        <v>414</v>
      </c>
      <c r="G82">
        <v>12</v>
      </c>
      <c r="I82" t="e">
        <f t="shared" si="1"/>
        <v>#N/A</v>
      </c>
      <c r="J82" t="str">
        <f>VLOOKUP(aggregated_results!A82,representatives_list!A:D,4,FALSE)</f>
        <v>N/A</v>
      </c>
      <c r="K82" t="str">
        <f>VLOOKUP(aggregated_results!A82,representatives_list!A:D,3,FALSE)</f>
        <v>Pi</v>
      </c>
      <c r="L82" t="str">
        <f>VLOOKUP(aggregated_results!A82,representatives_list!A:E,5,FALSE)</f>
        <v>BG(–)</v>
      </c>
      <c r="M82" t="str">
        <f>VLOOKUP(A82,representatives_list!A:B,2,FALSE)</f>
        <v>Inositol-pentaphosphate 2-kinase</v>
      </c>
      <c r="N82" t="str">
        <f>VLOOKUP(B82,representatives_list!A:B,2,FALSE)</f>
        <v>Protein kinase-like (PK-like)</v>
      </c>
      <c r="O82" t="str">
        <f>VLOOKUP(aggregated_results!B82,representatives_list!A:E,5,FALSE)</f>
        <v>BG(–)</v>
      </c>
      <c r="P82" t="str">
        <f>VLOOKUP(aggregated_results!B82,representatives_list!A:D,3,FALSE)</f>
        <v>Pi</v>
      </c>
      <c r="Q82" t="str">
        <f>VLOOKUP(aggregated_results!B82,representatives_list!A:D,4,FALSE)</f>
        <v>d.144.1</v>
      </c>
    </row>
    <row r="83" spans="1:17" x14ac:dyDescent="0.25">
      <c r="A83" t="s">
        <v>50</v>
      </c>
      <c r="B83" t="s">
        <v>26</v>
      </c>
      <c r="C83">
        <v>4.5</v>
      </c>
      <c r="D83">
        <v>3.6</v>
      </c>
      <c r="E83">
        <v>88</v>
      </c>
      <c r="F83">
        <v>150</v>
      </c>
      <c r="G83">
        <v>8</v>
      </c>
      <c r="I83" t="str">
        <f t="shared" si="1"/>
        <v>x</v>
      </c>
      <c r="J83" t="str">
        <f>VLOOKUP(aggregated_results!A83,representatives_list!A:D,4,FALSE)</f>
        <v>d.58.6</v>
      </c>
      <c r="K83" t="str">
        <f>VLOOKUP(aggregated_results!A83,representatives_list!A:D,3,FALSE)</f>
        <v>Pi</v>
      </c>
      <c r="L83" t="str">
        <f>VLOOKUP(aggregated_results!A83,representatives_list!A:E,5,FALSE)</f>
        <v>ABG(+)</v>
      </c>
      <c r="M83" t="str">
        <f>VLOOKUP(A83,representatives_list!A:B,2,FALSE)</f>
        <v>Nucleoside diphosphate kinase, NDK</v>
      </c>
      <c r="N83" t="str">
        <f>VLOOKUP(B83,representatives_list!A:B,2,FALSE)</f>
        <v>GlnB-like</v>
      </c>
      <c r="O83" t="str">
        <f>VLOOKUP(aggregated_results!B83,representatives_list!A:E,5,FALSE)</f>
        <v>ABG(–)</v>
      </c>
      <c r="P83" t="str">
        <f>VLOOKUP(aggregated_results!B83,representatives_list!A:D,3,FALSE)</f>
        <v>Pi</v>
      </c>
      <c r="Q83" t="str">
        <f>VLOOKUP(aggregated_results!B83,representatives_list!A:D,4,FALSE)</f>
        <v>d.58.5</v>
      </c>
    </row>
    <row r="84" spans="1:17" x14ac:dyDescent="0.25">
      <c r="A84" t="s">
        <v>62</v>
      </c>
      <c r="B84" t="s">
        <v>45</v>
      </c>
      <c r="C84">
        <v>4.4000000000000004</v>
      </c>
      <c r="D84">
        <v>4.9000000000000004</v>
      </c>
      <c r="E84">
        <v>152</v>
      </c>
      <c r="F84">
        <v>593</v>
      </c>
      <c r="G84">
        <v>7</v>
      </c>
      <c r="I84" t="e">
        <f t="shared" si="1"/>
        <v>#N/A</v>
      </c>
      <c r="J84" t="str">
        <f>VLOOKUP(aggregated_results!A84,representatives_list!A:D,4,FALSE)</f>
        <v>N/A</v>
      </c>
      <c r="K84" t="str">
        <f>VLOOKUP(aggregated_results!A84,representatives_list!A:D,3,FALSE)</f>
        <v>PPi</v>
      </c>
      <c r="L84" t="str">
        <f>VLOOKUP(aggregated_results!A84,representatives_list!A:E,5,FALSE)</f>
        <v>AB(+)</v>
      </c>
      <c r="M84" t="str">
        <f>VLOOKUP(A84,representatives_list!A:B,2,FALSE)</f>
        <v>Aerobactin siderophore biosynthesis, IucA/IucC-like</v>
      </c>
      <c r="N84" t="str">
        <f>VLOOKUP(B84,representatives_list!A:B,2,FALSE)</f>
        <v>SAICAR synthase-like</v>
      </c>
      <c r="O84" t="str">
        <f>VLOOKUP(aggregated_results!B84,representatives_list!A:E,5,FALSE)</f>
        <v>BG(–)</v>
      </c>
      <c r="P84" t="str">
        <f>VLOOKUP(aggregated_results!B84,representatives_list!A:D,3,FALSE)</f>
        <v>Pi</v>
      </c>
      <c r="Q84" t="str">
        <f>VLOOKUP(aggregated_results!B84,representatives_list!A:D,4,FALSE)</f>
        <v>d.143.1</v>
      </c>
    </row>
    <row r="85" spans="1:17" x14ac:dyDescent="0.25">
      <c r="A85" t="s">
        <v>63</v>
      </c>
      <c r="B85" t="s">
        <v>29</v>
      </c>
      <c r="C85">
        <v>4.4000000000000004</v>
      </c>
      <c r="D85">
        <v>2.8</v>
      </c>
      <c r="E85">
        <v>89</v>
      </c>
      <c r="F85">
        <v>213</v>
      </c>
      <c r="G85">
        <v>7</v>
      </c>
      <c r="I85" t="str">
        <f t="shared" si="1"/>
        <v/>
      </c>
      <c r="J85" t="str">
        <f>VLOOKUP(aggregated_results!A85,representatives_list!A:D,4,FALSE)</f>
        <v>d.78.1</v>
      </c>
      <c r="K85" t="str">
        <f>VLOOKUP(aggregated_results!A85,representatives_list!A:D,3,FALSE)</f>
        <v>PPi</v>
      </c>
      <c r="L85" t="str">
        <f>VLOOKUP(aggregated_results!A85,representatives_list!A:E,5,FALSE)</f>
        <v>N/A</v>
      </c>
      <c r="M85" t="str">
        <f>VLOOKUP(A85,representatives_list!A:B,2,FALSE)</f>
        <v>RPB5-like RNA polymerase subunit</v>
      </c>
      <c r="N85" t="str">
        <f>VLOOKUP(B85,representatives_list!A:B,2,FALSE)</f>
        <v>PRTase-like</v>
      </c>
      <c r="O85" t="str">
        <f>VLOOKUP(aggregated_results!B85,representatives_list!A:E,5,FALSE)</f>
        <v>ABG(+)</v>
      </c>
      <c r="P85" t="str">
        <f>VLOOKUP(aggregated_results!B85,representatives_list!A:D,3,FALSE)</f>
        <v>PPi</v>
      </c>
      <c r="Q85" t="str">
        <f>VLOOKUP(aggregated_results!B85,representatives_list!A:D,4,FALSE)</f>
        <v>c.61.1</v>
      </c>
    </row>
    <row r="86" spans="1:17" x14ac:dyDescent="0.25">
      <c r="A86" t="s">
        <v>54</v>
      </c>
      <c r="B86" t="s">
        <v>42</v>
      </c>
      <c r="C86">
        <v>4.4000000000000004</v>
      </c>
      <c r="D86">
        <v>2.9</v>
      </c>
      <c r="E86">
        <v>85</v>
      </c>
      <c r="F86">
        <v>317</v>
      </c>
      <c r="G86">
        <v>13</v>
      </c>
      <c r="I86" t="str">
        <f t="shared" si="1"/>
        <v/>
      </c>
      <c r="J86" t="str">
        <f>VLOOKUP(aggregated_results!A86,representatives_list!A:D,4,FALSE)</f>
        <v>d.142.1</v>
      </c>
      <c r="K86" t="str">
        <f>VLOOKUP(aggregated_results!A86,representatives_list!A:D,3,FALSE)</f>
        <v>Pi</v>
      </c>
      <c r="L86" t="str">
        <f>VLOOKUP(aggregated_results!A86,representatives_list!A:E,5,FALSE)</f>
        <v>BG(–)</v>
      </c>
      <c r="M86" t="str">
        <f>VLOOKUP(A86,representatives_list!A:B,2,FALSE)</f>
        <v>Glutathione synthetase ATP-binding domain-like</v>
      </c>
      <c r="N86" t="str">
        <f>VLOOKUP(B86,representatives_list!A:B,2,FALSE)</f>
        <v>NAD kinase/diacylglycerol kinase-like</v>
      </c>
      <c r="O86" t="str">
        <f>VLOOKUP(aggregated_results!B86,representatives_list!A:E,5,FALSE)</f>
        <v>ABG(+)</v>
      </c>
      <c r="P86" t="str">
        <f>VLOOKUP(aggregated_results!B86,representatives_list!A:D,3,FALSE)</f>
        <v>Pi</v>
      </c>
      <c r="Q86" t="str">
        <f>VLOOKUP(aggregated_results!B86,representatives_list!A:D,4,FALSE)</f>
        <v>e.52.1</v>
      </c>
    </row>
    <row r="87" spans="1:17" x14ac:dyDescent="0.25">
      <c r="A87" t="s">
        <v>46</v>
      </c>
      <c r="B87" t="s">
        <v>24</v>
      </c>
      <c r="C87">
        <v>4.4000000000000004</v>
      </c>
      <c r="D87">
        <v>3.6</v>
      </c>
      <c r="E87">
        <v>118</v>
      </c>
      <c r="F87">
        <v>253</v>
      </c>
      <c r="G87">
        <v>8</v>
      </c>
      <c r="I87" t="e">
        <f t="shared" si="1"/>
        <v>#N/A</v>
      </c>
      <c r="J87" t="str">
        <f>VLOOKUP(aggregated_results!A87,representatives_list!A:D,4,FALSE)</f>
        <v>N/A</v>
      </c>
      <c r="K87" t="str">
        <f>VLOOKUP(aggregated_results!A87,representatives_list!A:D,3,FALSE)</f>
        <v>PPi</v>
      </c>
      <c r="L87" t="str">
        <f>VLOOKUP(aggregated_results!A87,representatives_list!A:E,5,FALSE)</f>
        <v>ABG(+)</v>
      </c>
      <c r="M87" t="str">
        <f>VLOOKUP(A87,representatives_list!A:B,2,FALSE)</f>
        <v>Phosphopantoate/pantothenate synthetase superfamily</v>
      </c>
      <c r="N87" t="str">
        <f>VLOOKUP(B87,representatives_list!A:B,2,FALSE)</f>
        <v>Ribokinase-like</v>
      </c>
      <c r="O87" t="str">
        <f>VLOOKUP(aggregated_results!B87,representatives_list!A:E,5,FALSE)</f>
        <v>BG(–)</v>
      </c>
      <c r="P87" t="str">
        <f>VLOOKUP(aggregated_results!B87,representatives_list!A:D,3,FALSE)</f>
        <v>Pi</v>
      </c>
      <c r="Q87" t="str">
        <f>VLOOKUP(aggregated_results!B87,representatives_list!A:D,4,FALSE)</f>
        <v>c.72.1</v>
      </c>
    </row>
    <row r="88" spans="1:17" x14ac:dyDescent="0.25">
      <c r="A88" t="s">
        <v>24</v>
      </c>
      <c r="B88" t="s">
        <v>42</v>
      </c>
      <c r="C88">
        <v>4.4000000000000004</v>
      </c>
      <c r="D88">
        <v>2.9</v>
      </c>
      <c r="E88">
        <v>91</v>
      </c>
      <c r="F88">
        <v>315</v>
      </c>
      <c r="G88">
        <v>9</v>
      </c>
      <c r="I88" t="str">
        <f t="shared" si="1"/>
        <v/>
      </c>
      <c r="J88" t="str">
        <f>VLOOKUP(aggregated_results!A88,representatives_list!A:D,4,FALSE)</f>
        <v>c.72.1</v>
      </c>
      <c r="K88" t="str">
        <f>VLOOKUP(aggregated_results!A88,representatives_list!A:D,3,FALSE)</f>
        <v>Pi</v>
      </c>
      <c r="L88" t="str">
        <f>VLOOKUP(aggregated_results!A88,representatives_list!A:E,5,FALSE)</f>
        <v>BG(–)</v>
      </c>
      <c r="M88" t="str">
        <f>VLOOKUP(A88,representatives_list!A:B,2,FALSE)</f>
        <v>Ribokinase-like</v>
      </c>
      <c r="N88" t="str">
        <f>VLOOKUP(B88,representatives_list!A:B,2,FALSE)</f>
        <v>NAD kinase/diacylglycerol kinase-like</v>
      </c>
      <c r="O88" t="str">
        <f>VLOOKUP(aggregated_results!B88,representatives_list!A:E,5,FALSE)</f>
        <v>ABG(+)</v>
      </c>
      <c r="P88" t="str">
        <f>VLOOKUP(aggregated_results!B88,representatives_list!A:D,3,FALSE)</f>
        <v>Pi</v>
      </c>
      <c r="Q88" t="str">
        <f>VLOOKUP(aggregated_results!B88,representatives_list!A:D,4,FALSE)</f>
        <v>e.52.1</v>
      </c>
    </row>
    <row r="89" spans="1:17" x14ac:dyDescent="0.25">
      <c r="A89" t="s">
        <v>64</v>
      </c>
      <c r="B89" t="s">
        <v>23</v>
      </c>
      <c r="C89">
        <v>4.4000000000000004</v>
      </c>
      <c r="D89">
        <v>3.3</v>
      </c>
      <c r="E89">
        <v>109</v>
      </c>
      <c r="F89">
        <v>412</v>
      </c>
      <c r="G89">
        <v>15</v>
      </c>
      <c r="I89" t="str">
        <f t="shared" si="1"/>
        <v/>
      </c>
      <c r="J89" t="str">
        <f>VLOOKUP(aggregated_results!A89,representatives_list!A:D,4,FALSE)</f>
        <v>c.146.1</v>
      </c>
      <c r="K89" t="str">
        <f>VLOOKUP(aggregated_results!A89,representatives_list!A:D,3,FALSE)</f>
        <v>Pi</v>
      </c>
      <c r="L89" t="str">
        <f>VLOOKUP(aggregated_results!A89,representatives_list!A:E,5,FALSE)</f>
        <v>N/A</v>
      </c>
      <c r="M89" t="str">
        <f>VLOOKUP(A89,representatives_list!A:B,2,FALSE)</f>
        <v>YgbK-like</v>
      </c>
      <c r="N89" t="str">
        <f>VLOOKUP(B89,representatives_list!A:B,2,FALSE)</f>
        <v>MurD-like peptide ligases, catalytic domain</v>
      </c>
      <c r="O89" t="str">
        <f>VLOOKUP(aggregated_results!B89,representatives_list!A:E,5,FALSE)</f>
        <v>BG(–)</v>
      </c>
      <c r="P89" t="str">
        <f>VLOOKUP(aggregated_results!B89,representatives_list!A:D,3,FALSE)</f>
        <v>Pi</v>
      </c>
      <c r="Q89" t="str">
        <f>VLOOKUP(aggregated_results!B89,representatives_list!A:D,4,FALSE)</f>
        <v>c.72.2</v>
      </c>
    </row>
    <row r="90" spans="1:17" x14ac:dyDescent="0.25">
      <c r="A90" t="s">
        <v>36</v>
      </c>
      <c r="B90" t="s">
        <v>37</v>
      </c>
      <c r="C90">
        <v>4.4000000000000004</v>
      </c>
      <c r="D90">
        <v>3.2</v>
      </c>
      <c r="E90">
        <v>107</v>
      </c>
      <c r="F90">
        <v>166</v>
      </c>
      <c r="G90">
        <v>11</v>
      </c>
      <c r="I90" t="str">
        <f t="shared" si="1"/>
        <v/>
      </c>
      <c r="J90" t="str">
        <f>VLOOKUP(aggregated_results!A90,representatives_list!A:D,4,FALSE)</f>
        <v>c.37.1</v>
      </c>
      <c r="K90" t="str">
        <f>VLOOKUP(aggregated_results!A90,representatives_list!A:D,3,FALSE)</f>
        <v>Pi</v>
      </c>
      <c r="L90" t="str">
        <f>VLOOKUP(aggregated_results!A90,representatives_list!A:E,5,FALSE)</f>
        <v>BG(–)</v>
      </c>
      <c r="M90" t="str">
        <f>VLOOKUP(A90,representatives_list!A:B,2,FALSE)</f>
        <v>P-loop containing nucleoside triphosphate hydrolases</v>
      </c>
      <c r="N90" t="str">
        <f>VLOOKUP(B90,representatives_list!A:B,2,FALSE)</f>
        <v>Phosphofructokinase</v>
      </c>
      <c r="O90" t="str">
        <f>VLOOKUP(aggregated_results!B90,representatives_list!A:E,5,FALSE)</f>
        <v>ABG(–)</v>
      </c>
      <c r="P90" t="str">
        <f>VLOOKUP(aggregated_results!B90,representatives_list!A:D,3,FALSE)</f>
        <v>Pi</v>
      </c>
      <c r="Q90" t="str">
        <f>VLOOKUP(aggregated_results!B90,representatives_list!A:D,4,FALSE)</f>
        <v>c.89.1</v>
      </c>
    </row>
    <row r="91" spans="1:17" x14ac:dyDescent="0.25">
      <c r="A91" t="s">
        <v>29</v>
      </c>
      <c r="B91" t="s">
        <v>42</v>
      </c>
      <c r="C91">
        <v>4.3</v>
      </c>
      <c r="D91">
        <v>2.9</v>
      </c>
      <c r="E91">
        <v>83</v>
      </c>
      <c r="F91">
        <v>309</v>
      </c>
      <c r="G91">
        <v>8</v>
      </c>
      <c r="I91" t="str">
        <f t="shared" si="1"/>
        <v/>
      </c>
      <c r="J91" t="str">
        <f>VLOOKUP(aggregated_results!A91,representatives_list!A:D,4,FALSE)</f>
        <v>c.61.1</v>
      </c>
      <c r="K91" t="str">
        <f>VLOOKUP(aggregated_results!A91,representatives_list!A:D,3,FALSE)</f>
        <v>PPi</v>
      </c>
      <c r="L91" t="str">
        <f>VLOOKUP(aggregated_results!A91,representatives_list!A:E,5,FALSE)</f>
        <v>ABG(+)</v>
      </c>
      <c r="M91" t="str">
        <f>VLOOKUP(A91,representatives_list!A:B,2,FALSE)</f>
        <v>PRTase-like</v>
      </c>
      <c r="N91" t="str">
        <f>VLOOKUP(B91,representatives_list!A:B,2,FALSE)</f>
        <v>NAD kinase/diacylglycerol kinase-like</v>
      </c>
      <c r="O91" t="str">
        <f>VLOOKUP(aggregated_results!B91,representatives_list!A:E,5,FALSE)</f>
        <v>ABG(+)</v>
      </c>
      <c r="P91" t="str">
        <f>VLOOKUP(aggregated_results!B91,representatives_list!A:D,3,FALSE)</f>
        <v>Pi</v>
      </c>
      <c r="Q91" t="str">
        <f>VLOOKUP(aggregated_results!B91,representatives_list!A:D,4,FALSE)</f>
        <v>e.52.1</v>
      </c>
    </row>
    <row r="92" spans="1:17" x14ac:dyDescent="0.25">
      <c r="A92" t="s">
        <v>62</v>
      </c>
      <c r="B92" t="s">
        <v>53</v>
      </c>
      <c r="C92">
        <v>4.3</v>
      </c>
      <c r="D92">
        <v>4.9000000000000004</v>
      </c>
      <c r="E92">
        <v>183</v>
      </c>
      <c r="F92">
        <v>593</v>
      </c>
      <c r="G92">
        <v>10</v>
      </c>
      <c r="I92" t="e">
        <f t="shared" si="1"/>
        <v>#N/A</v>
      </c>
      <c r="J92" t="str">
        <f>VLOOKUP(aggregated_results!A92,representatives_list!A:D,4,FALSE)</f>
        <v>N/A</v>
      </c>
      <c r="K92" t="str">
        <f>VLOOKUP(aggregated_results!A92,representatives_list!A:D,3,FALSE)</f>
        <v>PPi</v>
      </c>
      <c r="L92" t="str">
        <f>VLOOKUP(aggregated_results!A92,representatives_list!A:E,5,FALSE)</f>
        <v>AB(+)</v>
      </c>
      <c r="M92" t="str">
        <f>VLOOKUP(A92,representatives_list!A:B,2,FALSE)</f>
        <v>Aerobactin siderophore biosynthesis, IucA/IucC-like</v>
      </c>
      <c r="N92" t="str">
        <f>VLOOKUP(B92,representatives_list!A:B,2,FALSE)</f>
        <v>Protein kinase-like (PK-like)</v>
      </c>
      <c r="O92" t="str">
        <f>VLOOKUP(aggregated_results!B92,representatives_list!A:E,5,FALSE)</f>
        <v>BG(–)</v>
      </c>
      <c r="P92" t="str">
        <f>VLOOKUP(aggregated_results!B92,representatives_list!A:D,3,FALSE)</f>
        <v>Pi</v>
      </c>
      <c r="Q92" t="str">
        <f>VLOOKUP(aggregated_results!B92,representatives_list!A:D,4,FALSE)</f>
        <v>d.144.1</v>
      </c>
    </row>
    <row r="93" spans="1:17" x14ac:dyDescent="0.25">
      <c r="A93" t="s">
        <v>27</v>
      </c>
      <c r="B93" t="s">
        <v>23</v>
      </c>
      <c r="C93">
        <v>4.3</v>
      </c>
      <c r="D93">
        <v>4</v>
      </c>
      <c r="E93">
        <v>134</v>
      </c>
      <c r="F93">
        <v>304</v>
      </c>
      <c r="G93">
        <v>9</v>
      </c>
      <c r="I93" t="str">
        <f t="shared" si="1"/>
        <v>x</v>
      </c>
      <c r="J93" t="str">
        <f>VLOOKUP(aggregated_results!A93,representatives_list!A:D,4,FALSE)</f>
        <v>c.72.3</v>
      </c>
      <c r="K93" t="str">
        <f>VLOOKUP(aggregated_results!A93,representatives_list!A:D,3,FALSE)</f>
        <v>PPi</v>
      </c>
      <c r="L93" t="str">
        <f>VLOOKUP(aggregated_results!A93,representatives_list!A:E,5,FALSE)</f>
        <v>ABG(–)</v>
      </c>
      <c r="M93" t="str">
        <f>VLOOKUP(A93,representatives_list!A:B,2,FALSE)</f>
        <v>CoaB-like</v>
      </c>
      <c r="N93" t="str">
        <f>VLOOKUP(B93,representatives_list!A:B,2,FALSE)</f>
        <v>MurD-like peptide ligases, catalytic domain</v>
      </c>
      <c r="O93" t="str">
        <f>VLOOKUP(aggregated_results!B93,representatives_list!A:E,5,FALSE)</f>
        <v>BG(–)</v>
      </c>
      <c r="P93" t="str">
        <f>VLOOKUP(aggregated_results!B93,representatives_list!A:D,3,FALSE)</f>
        <v>Pi</v>
      </c>
      <c r="Q93" t="str">
        <f>VLOOKUP(aggregated_results!B93,representatives_list!A:D,4,FALSE)</f>
        <v>c.72.2</v>
      </c>
    </row>
    <row r="94" spans="1:17" x14ac:dyDescent="0.25">
      <c r="A94" t="s">
        <v>27</v>
      </c>
      <c r="B94" t="s">
        <v>54</v>
      </c>
      <c r="C94">
        <v>4.3</v>
      </c>
      <c r="D94">
        <v>3.7</v>
      </c>
      <c r="E94">
        <v>105</v>
      </c>
      <c r="F94">
        <v>304</v>
      </c>
      <c r="G94">
        <v>10</v>
      </c>
      <c r="I94" t="str">
        <f t="shared" si="1"/>
        <v/>
      </c>
      <c r="J94" t="str">
        <f>VLOOKUP(aggregated_results!A94,representatives_list!A:D,4,FALSE)</f>
        <v>c.72.3</v>
      </c>
      <c r="K94" t="str">
        <f>VLOOKUP(aggregated_results!A94,representatives_list!A:D,3,FALSE)</f>
        <v>PPi</v>
      </c>
      <c r="L94" t="str">
        <f>VLOOKUP(aggregated_results!A94,representatives_list!A:E,5,FALSE)</f>
        <v>ABG(–)</v>
      </c>
      <c r="M94" t="str">
        <f>VLOOKUP(A94,representatives_list!A:B,2,FALSE)</f>
        <v>CoaB-like</v>
      </c>
      <c r="N94" t="str">
        <f>VLOOKUP(B94,representatives_list!A:B,2,FALSE)</f>
        <v>Glutathione synthetase ATP-binding domain-like</v>
      </c>
      <c r="O94" t="str">
        <f>VLOOKUP(aggregated_results!B94,representatives_list!A:E,5,FALSE)</f>
        <v>BG(–)</v>
      </c>
      <c r="P94" t="str">
        <f>VLOOKUP(aggregated_results!B94,representatives_list!A:D,3,FALSE)</f>
        <v>Pi</v>
      </c>
      <c r="Q94" t="str">
        <f>VLOOKUP(aggregated_results!B94,representatives_list!A:D,4,FALSE)</f>
        <v>d.142.1</v>
      </c>
    </row>
    <row r="95" spans="1:17" x14ac:dyDescent="0.25">
      <c r="A95" t="s">
        <v>28</v>
      </c>
      <c r="B95" t="s">
        <v>25</v>
      </c>
      <c r="C95">
        <v>4.3</v>
      </c>
      <c r="D95">
        <v>4.5</v>
      </c>
      <c r="E95">
        <v>132</v>
      </c>
      <c r="F95">
        <v>301</v>
      </c>
      <c r="G95">
        <v>7</v>
      </c>
      <c r="I95" t="str">
        <f t="shared" si="1"/>
        <v/>
      </c>
      <c r="J95" t="str">
        <f>VLOOKUP(aggregated_results!A95,representatives_list!A:D,4,FALSE)</f>
        <v>c.111.1</v>
      </c>
      <c r="K95" t="str">
        <f>VLOOKUP(aggregated_results!A95,representatives_list!A:D,3,FALSE)</f>
        <v>PPi</v>
      </c>
      <c r="L95" t="str">
        <f>VLOOKUP(aggregated_results!A95,representatives_list!A:E,5,FALSE)</f>
        <v>ABG(+)</v>
      </c>
      <c r="M95" t="str">
        <f>VLOOKUP(A95,representatives_list!A:B,2,FALSE)</f>
        <v>Activating enzymes of the ubiquitin-like proteins</v>
      </c>
      <c r="N95" t="str">
        <f>VLOOKUP(B95,representatives_list!A:B,2,FALSE)</f>
        <v>Carbamate kinase-like</v>
      </c>
      <c r="O95" t="str">
        <f>VLOOKUP(aggregated_results!B95,representatives_list!A:E,5,FALSE)</f>
        <v>ABG(+)</v>
      </c>
      <c r="P95" t="str">
        <f>VLOOKUP(aggregated_results!B95,representatives_list!A:D,3,FALSE)</f>
        <v>Pi</v>
      </c>
      <c r="Q95" t="str">
        <f>VLOOKUP(aggregated_results!B95,representatives_list!A:D,4,FALSE)</f>
        <v>c.73.1</v>
      </c>
    </row>
    <row r="96" spans="1:17" x14ac:dyDescent="0.25">
      <c r="A96" t="s">
        <v>65</v>
      </c>
      <c r="B96" t="s">
        <v>38</v>
      </c>
      <c r="C96">
        <v>4.3</v>
      </c>
      <c r="D96">
        <v>3.7</v>
      </c>
      <c r="E96">
        <v>88</v>
      </c>
      <c r="F96">
        <v>178</v>
      </c>
      <c r="G96">
        <v>13</v>
      </c>
      <c r="I96" t="str">
        <f t="shared" si="1"/>
        <v/>
      </c>
      <c r="J96" t="str">
        <f>VLOOKUP(aggregated_results!A96,representatives_list!A:D,4,FALSE)</f>
        <v>a.25.2</v>
      </c>
      <c r="K96" t="str">
        <f>VLOOKUP(aggregated_results!A96,representatives_list!A:D,3,FALSE)</f>
        <v>PPPi</v>
      </c>
      <c r="L96" t="str">
        <f>VLOOKUP(aggregated_results!A96,representatives_list!A:E,5,FALSE)</f>
        <v>ABG(+)</v>
      </c>
      <c r="M96" t="str">
        <f>VLOOKUP(A96,representatives_list!A:B,2,FALSE)</f>
        <v>Cobalamin adenosyltransferase-like</v>
      </c>
      <c r="N96" t="str">
        <f>VLOOKUP(B96,representatives_list!A:B,2,FALSE)</f>
        <v>YojJ-like</v>
      </c>
      <c r="O96" t="str">
        <f>VLOOKUP(aggregated_results!B96,representatives_list!A:E,5,FALSE)</f>
        <v>ABG(–)</v>
      </c>
      <c r="P96" t="str">
        <f>VLOOKUP(aggregated_results!B96,representatives_list!A:D,3,FALSE)</f>
        <v>PPi</v>
      </c>
      <c r="Q96" t="str">
        <f>VLOOKUP(aggregated_results!B96,representatives_list!A:D,4,FALSE)</f>
        <v>d.320.1</v>
      </c>
    </row>
    <row r="97" spans="1:17" x14ac:dyDescent="0.25">
      <c r="A97" t="s">
        <v>33</v>
      </c>
      <c r="B97" t="s">
        <v>28</v>
      </c>
      <c r="C97">
        <v>4.3</v>
      </c>
      <c r="D97">
        <v>13.8</v>
      </c>
      <c r="E97">
        <v>107</v>
      </c>
      <c r="F97">
        <v>530</v>
      </c>
      <c r="G97">
        <v>5</v>
      </c>
      <c r="I97" t="str">
        <f t="shared" si="1"/>
        <v/>
      </c>
      <c r="J97" t="str">
        <f>VLOOKUP(aggregated_results!A97,representatives_list!A:D,4,FALSE)</f>
        <v>e.23.1</v>
      </c>
      <c r="K97" t="str">
        <f>VLOOKUP(aggregated_results!A97,representatives_list!A:D,3,FALSE)</f>
        <v>PPi</v>
      </c>
      <c r="L97" t="str">
        <f>VLOOKUP(aggregated_results!A97,representatives_list!A:E,5,FALSE)</f>
        <v>BG(+)</v>
      </c>
      <c r="M97" t="str">
        <f>VLOOKUP(A97,representatives_list!A:B,2,FALSE)</f>
        <v>Acetyl-CoA synthetase-like</v>
      </c>
      <c r="N97" t="str">
        <f>VLOOKUP(B97,representatives_list!A:B,2,FALSE)</f>
        <v>Activating enzymes of the ubiquitin-like proteins</v>
      </c>
      <c r="O97" t="str">
        <f>VLOOKUP(aggregated_results!B97,representatives_list!A:E,5,FALSE)</f>
        <v>ABG(+)</v>
      </c>
      <c r="P97" t="str">
        <f>VLOOKUP(aggregated_results!B97,representatives_list!A:D,3,FALSE)</f>
        <v>PPi</v>
      </c>
      <c r="Q97" t="str">
        <f>VLOOKUP(aggregated_results!B97,representatives_list!A:D,4,FALSE)</f>
        <v>c.111.1</v>
      </c>
    </row>
    <row r="98" spans="1:17" x14ac:dyDescent="0.25">
      <c r="A98" t="s">
        <v>55</v>
      </c>
      <c r="B98" t="s">
        <v>36</v>
      </c>
      <c r="C98">
        <v>4.3</v>
      </c>
      <c r="D98">
        <v>3.1</v>
      </c>
      <c r="E98">
        <v>93</v>
      </c>
      <c r="F98">
        <v>321</v>
      </c>
      <c r="G98">
        <v>9</v>
      </c>
      <c r="I98" t="str">
        <f t="shared" si="1"/>
        <v/>
      </c>
      <c r="J98" t="str">
        <f>VLOOKUP(aggregated_results!A98,representatives_list!A:D,4,FALSE)</f>
        <v>e.13.1</v>
      </c>
      <c r="K98" t="str">
        <f>VLOOKUP(aggregated_results!A98,representatives_list!A:D,3,FALSE)</f>
        <v>PPi</v>
      </c>
      <c r="L98" t="str">
        <f>VLOOKUP(aggregated_results!A98,representatives_list!A:E,5,FALSE)</f>
        <v>AB(–)</v>
      </c>
      <c r="M98" t="str">
        <f>VLOOKUP(A98,representatives_list!A:B,2,FALSE)</f>
        <v>DNA primase core</v>
      </c>
      <c r="N98" t="str">
        <f>VLOOKUP(B98,representatives_list!A:B,2,FALSE)</f>
        <v>P-loop containing nucleoside triphosphate hydrolases</v>
      </c>
      <c r="O98" t="str">
        <f>VLOOKUP(aggregated_results!B98,representatives_list!A:E,5,FALSE)</f>
        <v>BG(–)</v>
      </c>
      <c r="P98" t="str">
        <f>VLOOKUP(aggregated_results!B98,representatives_list!A:D,3,FALSE)</f>
        <v>Pi</v>
      </c>
      <c r="Q98" t="str">
        <f>VLOOKUP(aggregated_results!B98,representatives_list!A:D,4,FALSE)</f>
        <v>c.37.1</v>
      </c>
    </row>
    <row r="99" spans="1:17" x14ac:dyDescent="0.25">
      <c r="A99" t="s">
        <v>48</v>
      </c>
      <c r="B99" t="s">
        <v>23</v>
      </c>
      <c r="C99">
        <v>4.3</v>
      </c>
      <c r="D99">
        <v>9.8000000000000007</v>
      </c>
      <c r="E99">
        <v>125</v>
      </c>
      <c r="F99">
        <v>994</v>
      </c>
      <c r="G99">
        <v>9</v>
      </c>
      <c r="I99" t="str">
        <f t="shared" si="1"/>
        <v/>
      </c>
      <c r="J99" t="str">
        <f>VLOOKUP(aggregated_results!A99,representatives_list!A:D,4,FALSE)</f>
        <v>d.220.1</v>
      </c>
      <c r="K99" t="str">
        <f>VLOOKUP(aggregated_results!A99,representatives_list!A:D,3,FALSE)</f>
        <v>Pi</v>
      </c>
      <c r="L99" t="str">
        <f>VLOOKUP(aggregated_results!A99,representatives_list!A:E,5,FALSE)</f>
        <v>BG(–)</v>
      </c>
      <c r="M99" t="str">
        <f>VLOOKUP(A99,representatives_list!A:B,2,FALSE)</f>
        <v>Metal cation-transporting ATPase, ATP-binding domain N</v>
      </c>
      <c r="N99" t="str">
        <f>VLOOKUP(B99,representatives_list!A:B,2,FALSE)</f>
        <v>MurD-like peptide ligases, catalytic domain</v>
      </c>
      <c r="O99" t="str">
        <f>VLOOKUP(aggregated_results!B99,representatives_list!A:E,5,FALSE)</f>
        <v>BG(–)</v>
      </c>
      <c r="P99" t="str">
        <f>VLOOKUP(aggregated_results!B99,representatives_list!A:D,3,FALSE)</f>
        <v>Pi</v>
      </c>
      <c r="Q99" t="str">
        <f>VLOOKUP(aggregated_results!B99,representatives_list!A:D,4,FALSE)</f>
        <v>c.72.2</v>
      </c>
    </row>
    <row r="100" spans="1:17" x14ac:dyDescent="0.25">
      <c r="A100" t="s">
        <v>31</v>
      </c>
      <c r="B100" t="s">
        <v>25</v>
      </c>
      <c r="C100">
        <v>4.3</v>
      </c>
      <c r="D100">
        <v>16.3</v>
      </c>
      <c r="E100">
        <v>99</v>
      </c>
      <c r="F100">
        <v>516</v>
      </c>
      <c r="G100">
        <v>8</v>
      </c>
      <c r="I100" t="str">
        <f t="shared" si="1"/>
        <v/>
      </c>
      <c r="J100" t="str">
        <f>VLOOKUP(aggregated_results!A100,representatives_list!A:D,4,FALSE)</f>
        <v>d.58.26</v>
      </c>
      <c r="K100" t="str">
        <f>VLOOKUP(aggregated_results!A100,representatives_list!A:D,3,FALSE)</f>
        <v>Pi</v>
      </c>
      <c r="L100" t="str">
        <f>VLOOKUP(aggregated_results!A100,representatives_list!A:E,5,FALSE)</f>
        <v>ABG(+)</v>
      </c>
      <c r="M100" t="str">
        <f>VLOOKUP(A100,representatives_list!A:B,2,FALSE)</f>
        <v>GHMP Kinase, C-terminal domain</v>
      </c>
      <c r="N100" t="str">
        <f>VLOOKUP(B100,representatives_list!A:B,2,FALSE)</f>
        <v>Carbamate kinase-like</v>
      </c>
      <c r="O100" t="str">
        <f>VLOOKUP(aggregated_results!B100,representatives_list!A:E,5,FALSE)</f>
        <v>ABG(+)</v>
      </c>
      <c r="P100" t="str">
        <f>VLOOKUP(aggregated_results!B100,representatives_list!A:D,3,FALSE)</f>
        <v>Pi</v>
      </c>
      <c r="Q100" t="str">
        <f>VLOOKUP(aggregated_results!B100,representatives_list!A:D,4,FALSE)</f>
        <v>c.73.1</v>
      </c>
    </row>
    <row r="101" spans="1:17" x14ac:dyDescent="0.25">
      <c r="A101" t="s">
        <v>66</v>
      </c>
      <c r="B101" t="s">
        <v>21</v>
      </c>
      <c r="C101">
        <v>4.3</v>
      </c>
      <c r="D101">
        <v>3.1</v>
      </c>
      <c r="E101">
        <v>80</v>
      </c>
      <c r="F101">
        <v>146</v>
      </c>
      <c r="G101">
        <v>10</v>
      </c>
      <c r="I101" t="str">
        <f t="shared" si="1"/>
        <v/>
      </c>
      <c r="J101" t="str">
        <f>VLOOKUP(aggregated_results!A101,representatives_list!A:D,4,FALSE)</f>
        <v>d.58.21</v>
      </c>
      <c r="K101" t="str">
        <f>VLOOKUP(aggregated_results!A101,representatives_list!A:D,3,FALSE)</f>
        <v>PPi</v>
      </c>
      <c r="L101" t="str">
        <f>VLOOKUP(aggregated_results!A101,representatives_list!A:E,5,FALSE)</f>
        <v>N/A</v>
      </c>
      <c r="M101" t="str">
        <f>VLOOKUP(A101,representatives_list!A:B,2,FALSE)</f>
        <v>Molybdenum cofactor biosynthesis protein C, MoaC</v>
      </c>
      <c r="N101" t="str">
        <f>VLOOKUP(B101,representatives_list!A:B,2,FALSE)</f>
        <v>YrdC/RibB</v>
      </c>
      <c r="O101" t="str">
        <f>VLOOKUP(aggregated_results!B101,representatives_list!A:E,5,FALSE)</f>
        <v>ABG(–)</v>
      </c>
      <c r="P101" t="str">
        <f>VLOOKUP(aggregated_results!B101,representatives_list!A:D,3,FALSE)</f>
        <v>PPi</v>
      </c>
      <c r="Q101" t="str">
        <f>VLOOKUP(aggregated_results!B101,representatives_list!A:D,4,FALSE)</f>
        <v>d.115.1</v>
      </c>
    </row>
    <row r="102" spans="1:17" x14ac:dyDescent="0.25">
      <c r="A102" t="s">
        <v>67</v>
      </c>
      <c r="B102" t="s">
        <v>28</v>
      </c>
      <c r="C102">
        <v>4.3</v>
      </c>
      <c r="D102">
        <v>3.7</v>
      </c>
      <c r="E102">
        <v>127</v>
      </c>
      <c r="F102">
        <v>255</v>
      </c>
      <c r="G102">
        <v>9</v>
      </c>
      <c r="I102" t="str">
        <f t="shared" si="1"/>
        <v/>
      </c>
      <c r="J102" t="str">
        <f>VLOOKUP(aggregated_results!A102,representatives_list!A:D,4,FALSE)</f>
        <v>c.100.1</v>
      </c>
      <c r="K102" t="str">
        <f>VLOOKUP(aggregated_results!A102,representatives_list!A:D,3,FALSE)</f>
        <v>PPi</v>
      </c>
      <c r="L102" t="str">
        <f>VLOOKUP(aggregated_results!A102,representatives_list!A:E,5,FALSE)</f>
        <v>AG</v>
      </c>
      <c r="M102" t="str">
        <f>VLOOKUP(A102,representatives_list!A:B,2,FALSE)</f>
        <v>Thiamin pyrophosphokinase, catalytic domain</v>
      </c>
      <c r="N102" t="str">
        <f>VLOOKUP(B102,representatives_list!A:B,2,FALSE)</f>
        <v>Activating enzymes of the ubiquitin-like proteins</v>
      </c>
      <c r="O102" t="str">
        <f>VLOOKUP(aggregated_results!B102,representatives_list!A:E,5,FALSE)</f>
        <v>ABG(+)</v>
      </c>
      <c r="P102" t="str">
        <f>VLOOKUP(aggregated_results!B102,representatives_list!A:D,3,FALSE)</f>
        <v>PPi</v>
      </c>
      <c r="Q102" t="str">
        <f>VLOOKUP(aggregated_results!B102,representatives_list!A:D,4,FALSE)</f>
        <v>c.111.1</v>
      </c>
    </row>
    <row r="103" spans="1:17" x14ac:dyDescent="0.25">
      <c r="A103" t="s">
        <v>48</v>
      </c>
      <c r="B103" t="s">
        <v>51</v>
      </c>
      <c r="C103">
        <v>4.2</v>
      </c>
      <c r="D103">
        <v>19</v>
      </c>
      <c r="E103">
        <v>96</v>
      </c>
      <c r="F103">
        <v>994</v>
      </c>
      <c r="G103">
        <v>4</v>
      </c>
      <c r="I103" t="str">
        <f t="shared" si="1"/>
        <v/>
      </c>
      <c r="J103" t="str">
        <f>VLOOKUP(aggregated_results!A103,representatives_list!A:D,4,FALSE)</f>
        <v>d.220.1</v>
      </c>
      <c r="K103" t="str">
        <f>VLOOKUP(aggregated_results!A103,representatives_list!A:D,3,FALSE)</f>
        <v>Pi</v>
      </c>
      <c r="L103" t="str">
        <f>VLOOKUP(aggregated_results!A103,representatives_list!A:E,5,FALSE)</f>
        <v>BG(–)</v>
      </c>
      <c r="M103" t="str">
        <f>VLOOKUP(A103,representatives_list!A:B,2,FALSE)</f>
        <v>Metal cation-transporting ATPase, ATP-binding domain N</v>
      </c>
      <c r="N103" t="str">
        <f>VLOOKUP(B103,representatives_list!A:B,2,FALSE)</f>
        <v>DhaL-like</v>
      </c>
      <c r="O103" t="str">
        <f>VLOOKUP(aggregated_results!B103,representatives_list!A:E,5,FALSE)</f>
        <v>BG(–)</v>
      </c>
      <c r="P103" t="str">
        <f>VLOOKUP(aggregated_results!B103,representatives_list!A:D,3,FALSE)</f>
        <v>Pi</v>
      </c>
      <c r="Q103" t="str">
        <f>VLOOKUP(aggregated_results!B103,representatives_list!A:D,4,FALSE)</f>
        <v>a.208.1</v>
      </c>
    </row>
    <row r="104" spans="1:17" x14ac:dyDescent="0.25">
      <c r="A104" t="s">
        <v>21</v>
      </c>
      <c r="B104" t="s">
        <v>18</v>
      </c>
      <c r="C104">
        <v>4.2</v>
      </c>
      <c r="D104">
        <v>3</v>
      </c>
      <c r="E104">
        <v>77</v>
      </c>
      <c r="F104">
        <v>753</v>
      </c>
      <c r="G104">
        <v>4</v>
      </c>
      <c r="I104" t="str">
        <f t="shared" si="1"/>
        <v/>
      </c>
      <c r="J104" t="str">
        <f>VLOOKUP(aggregated_results!A104,representatives_list!A:D,4,FALSE)</f>
        <v>d.115.1</v>
      </c>
      <c r="K104" t="str">
        <f>VLOOKUP(aggregated_results!A104,representatives_list!A:D,3,FALSE)</f>
        <v>PPi</v>
      </c>
      <c r="L104" t="str">
        <f>VLOOKUP(aggregated_results!A104,representatives_list!A:E,5,FALSE)</f>
        <v>ABG(–)</v>
      </c>
      <c r="M104" t="str">
        <f>VLOOKUP(A104,representatives_list!A:B,2,FALSE)</f>
        <v>YrdC/RibB</v>
      </c>
      <c r="N104" t="str">
        <f>VLOOKUP(B104,representatives_list!A:B,2,FALSE)</f>
        <v>Nucleotide cyclase</v>
      </c>
      <c r="O104" t="str">
        <f>VLOOKUP(aggregated_results!B104,representatives_list!A:E,5,FALSE)</f>
        <v>ABG(–)</v>
      </c>
      <c r="P104" t="str">
        <f>VLOOKUP(aggregated_results!B104,representatives_list!A:D,3,FALSE)</f>
        <v>PPi</v>
      </c>
      <c r="Q104" t="str">
        <f>VLOOKUP(aggregated_results!B104,representatives_list!A:D,4,FALSE)</f>
        <v>d.58.29</v>
      </c>
    </row>
    <row r="105" spans="1:17" x14ac:dyDescent="0.25">
      <c r="A105" t="s">
        <v>19</v>
      </c>
      <c r="B105" t="s">
        <v>18</v>
      </c>
      <c r="C105">
        <v>4.2</v>
      </c>
      <c r="D105">
        <v>3.5</v>
      </c>
      <c r="E105">
        <v>88</v>
      </c>
      <c r="F105">
        <v>417</v>
      </c>
      <c r="G105">
        <v>6</v>
      </c>
      <c r="I105" t="e">
        <f t="shared" si="1"/>
        <v>#N/A</v>
      </c>
      <c r="J105" t="str">
        <f>VLOOKUP(aggregated_results!A105,representatives_list!A:D,4,FALSE)</f>
        <v>N/A</v>
      </c>
      <c r="K105" t="str">
        <f>VLOOKUP(aggregated_results!A105,representatives_list!A:D,3,FALSE)</f>
        <v>PPi</v>
      </c>
      <c r="L105" t="str">
        <f>VLOOKUP(aggregated_results!A105,representatives_list!A:E,5,FALSE)</f>
        <v>N/A</v>
      </c>
      <c r="M105" t="str">
        <f>VLOOKUP(A105,representatives_list!A:B,2,FALSE)</f>
        <v>tRNA(Ile2) 2-agmatinylcytidine synthetase TiaS</v>
      </c>
      <c r="N105" t="str">
        <f>VLOOKUP(B105,representatives_list!A:B,2,FALSE)</f>
        <v>Nucleotide cyclase</v>
      </c>
      <c r="O105" t="str">
        <f>VLOOKUP(aggregated_results!B105,representatives_list!A:E,5,FALSE)</f>
        <v>ABG(–)</v>
      </c>
      <c r="P105" t="str">
        <f>VLOOKUP(aggregated_results!B105,representatives_list!A:D,3,FALSE)</f>
        <v>PPi</v>
      </c>
      <c r="Q105" t="str">
        <f>VLOOKUP(aggregated_results!B105,representatives_list!A:D,4,FALSE)</f>
        <v>d.58.29</v>
      </c>
    </row>
    <row r="106" spans="1:17" x14ac:dyDescent="0.25">
      <c r="A106" t="s">
        <v>64</v>
      </c>
      <c r="B106" t="s">
        <v>48</v>
      </c>
      <c r="C106">
        <v>4.2</v>
      </c>
      <c r="D106">
        <v>3.6</v>
      </c>
      <c r="E106">
        <v>123</v>
      </c>
      <c r="F106">
        <v>412</v>
      </c>
      <c r="G106">
        <v>8</v>
      </c>
      <c r="I106" t="str">
        <f t="shared" si="1"/>
        <v/>
      </c>
      <c r="J106" t="str">
        <f>VLOOKUP(aggregated_results!A106,representatives_list!A:D,4,FALSE)</f>
        <v>c.146.1</v>
      </c>
      <c r="K106" t="str">
        <f>VLOOKUP(aggregated_results!A106,representatives_list!A:D,3,FALSE)</f>
        <v>Pi</v>
      </c>
      <c r="L106" t="str">
        <f>VLOOKUP(aggregated_results!A106,representatives_list!A:E,5,FALSE)</f>
        <v>N/A</v>
      </c>
      <c r="M106" t="str">
        <f>VLOOKUP(A106,representatives_list!A:B,2,FALSE)</f>
        <v>YgbK-like</v>
      </c>
      <c r="N106" t="str">
        <f>VLOOKUP(B106,representatives_list!A:B,2,FALSE)</f>
        <v>Metal cation-transporting ATPase, ATP-binding domain N</v>
      </c>
      <c r="O106" t="str">
        <f>VLOOKUP(aggregated_results!B106,representatives_list!A:E,5,FALSE)</f>
        <v>BG(–)</v>
      </c>
      <c r="P106" t="str">
        <f>VLOOKUP(aggregated_results!B106,representatives_list!A:D,3,FALSE)</f>
        <v>Pi</v>
      </c>
      <c r="Q106" t="str">
        <f>VLOOKUP(aggregated_results!B106,representatives_list!A:D,4,FALSE)</f>
        <v>d.220.1</v>
      </c>
    </row>
    <row r="107" spans="1:17" x14ac:dyDescent="0.25">
      <c r="A107" t="s">
        <v>29</v>
      </c>
      <c r="B107" t="s">
        <v>55</v>
      </c>
      <c r="C107">
        <v>4.0999999999999996</v>
      </c>
      <c r="D107">
        <v>3.2</v>
      </c>
      <c r="E107">
        <v>91</v>
      </c>
      <c r="F107">
        <v>309</v>
      </c>
      <c r="G107">
        <v>5</v>
      </c>
      <c r="I107" t="str">
        <f t="shared" si="1"/>
        <v/>
      </c>
      <c r="J107" t="str">
        <f>VLOOKUP(aggregated_results!A107,representatives_list!A:D,4,FALSE)</f>
        <v>c.61.1</v>
      </c>
      <c r="K107" t="str">
        <f>VLOOKUP(aggregated_results!A107,representatives_list!A:D,3,FALSE)</f>
        <v>PPi</v>
      </c>
      <c r="L107" t="str">
        <f>VLOOKUP(aggregated_results!A107,representatives_list!A:E,5,FALSE)</f>
        <v>ABG(+)</v>
      </c>
      <c r="M107" t="str">
        <f>VLOOKUP(A107,representatives_list!A:B,2,FALSE)</f>
        <v>PRTase-like</v>
      </c>
      <c r="N107" t="str">
        <f>VLOOKUP(B107,representatives_list!A:B,2,FALSE)</f>
        <v>DNA primase core</v>
      </c>
      <c r="O107" t="str">
        <f>VLOOKUP(aggregated_results!B107,representatives_list!A:E,5,FALSE)</f>
        <v>AB(–)</v>
      </c>
      <c r="P107" t="str">
        <f>VLOOKUP(aggregated_results!B107,representatives_list!A:D,3,FALSE)</f>
        <v>PPi</v>
      </c>
      <c r="Q107" t="str">
        <f>VLOOKUP(aggregated_results!B107,representatives_list!A:D,4,FALSE)</f>
        <v>e.13.1</v>
      </c>
    </row>
    <row r="108" spans="1:17" x14ac:dyDescent="0.25">
      <c r="A108" t="s">
        <v>62</v>
      </c>
      <c r="B108" t="s">
        <v>44</v>
      </c>
      <c r="C108">
        <v>4.0999999999999996</v>
      </c>
      <c r="D108">
        <v>4.0999999999999996</v>
      </c>
      <c r="E108">
        <v>157</v>
      </c>
      <c r="F108">
        <v>593</v>
      </c>
      <c r="G108">
        <v>6</v>
      </c>
      <c r="I108" t="e">
        <f t="shared" si="1"/>
        <v>#N/A</v>
      </c>
      <c r="J108" t="str">
        <f>VLOOKUP(aggregated_results!A108,representatives_list!A:D,4,FALSE)</f>
        <v>N/A</v>
      </c>
      <c r="K108" t="str">
        <f>VLOOKUP(aggregated_results!A108,representatives_list!A:D,3,FALSE)</f>
        <v>PPi</v>
      </c>
      <c r="L108" t="str">
        <f>VLOOKUP(aggregated_results!A108,representatives_list!A:E,5,FALSE)</f>
        <v>AB(+)</v>
      </c>
      <c r="M108" t="str">
        <f>VLOOKUP(A108,representatives_list!A:B,2,FALSE)</f>
        <v>Aerobactin siderophore biosynthesis, IucA/IucC-like</v>
      </c>
      <c r="N108" t="str">
        <f>VLOOKUP(B108,representatives_list!A:B,2,FALSE)</f>
        <v>Inositol-pentaphosphate 2-kinase</v>
      </c>
      <c r="O108" t="str">
        <f>VLOOKUP(aggregated_results!B108,representatives_list!A:E,5,FALSE)</f>
        <v>BG(–)</v>
      </c>
      <c r="P108" t="str">
        <f>VLOOKUP(aggregated_results!B108,representatives_list!A:D,3,FALSE)</f>
        <v>Pi</v>
      </c>
      <c r="Q108" t="str">
        <f>VLOOKUP(aggregated_results!B108,representatives_list!A:D,4,FALSE)</f>
        <v>N/A</v>
      </c>
    </row>
    <row r="109" spans="1:17" x14ac:dyDescent="0.25">
      <c r="A109" t="s">
        <v>68</v>
      </c>
      <c r="B109" t="s">
        <v>58</v>
      </c>
      <c r="C109">
        <v>4.0999999999999996</v>
      </c>
      <c r="D109">
        <v>4.0999999999999996</v>
      </c>
      <c r="E109">
        <v>57</v>
      </c>
      <c r="F109">
        <v>110</v>
      </c>
      <c r="G109">
        <v>7</v>
      </c>
      <c r="I109" t="str">
        <f t="shared" si="1"/>
        <v/>
      </c>
      <c r="J109" t="str">
        <f>VLOOKUP(aggregated_results!A109,representatives_list!A:D,4,FALSE)</f>
        <v>a.204.1</v>
      </c>
      <c r="K109" t="str">
        <f>VLOOKUP(aggregated_results!A109,representatives_list!A:D,3,FALSE)</f>
        <v>PPi</v>
      </c>
      <c r="L109" t="str">
        <f>VLOOKUP(aggregated_results!A109,representatives_list!A:E,5,FALSE)</f>
        <v>ABG(+)</v>
      </c>
      <c r="M109" t="str">
        <f>VLOOKUP(A109,representatives_list!A:B,2,FALSE)</f>
        <v>all-alpha NTP pyrophosphatases</v>
      </c>
      <c r="N109" t="str">
        <f>VLOOKUP(B109,representatives_list!A:B,2,FALSE)</f>
        <v>Diacylglycerol kinase (DgkA)-like</v>
      </c>
      <c r="O109" t="str">
        <f>VLOOKUP(aggregated_results!B109,representatives_list!A:E,5,FALSE)</f>
        <v>BG(–)</v>
      </c>
      <c r="P109" t="str">
        <f>VLOOKUP(aggregated_results!B109,representatives_list!A:D,3,FALSE)</f>
        <v>Pi</v>
      </c>
      <c r="Q109" t="str">
        <f>VLOOKUP(aggregated_results!B109,representatives_list!A:D,4,FALSE)</f>
        <v>f.62.1</v>
      </c>
    </row>
    <row r="110" spans="1:17" x14ac:dyDescent="0.25">
      <c r="A110" t="s">
        <v>28</v>
      </c>
      <c r="B110" t="s">
        <v>35</v>
      </c>
      <c r="C110">
        <v>4.0999999999999996</v>
      </c>
      <c r="D110">
        <v>4.5999999999999996</v>
      </c>
      <c r="E110">
        <v>132</v>
      </c>
      <c r="F110">
        <v>301</v>
      </c>
      <c r="G110">
        <v>8</v>
      </c>
      <c r="I110" t="str">
        <f t="shared" si="1"/>
        <v/>
      </c>
      <c r="J110" t="str">
        <f>VLOOKUP(aggregated_results!A110,representatives_list!A:D,4,FALSE)</f>
        <v>c.111.1</v>
      </c>
      <c r="K110" t="str">
        <f>VLOOKUP(aggregated_results!A110,representatives_list!A:D,3,FALSE)</f>
        <v>PPi</v>
      </c>
      <c r="L110" t="str">
        <f>VLOOKUP(aggregated_results!A110,representatives_list!A:E,5,FALSE)</f>
        <v>ABG(+)</v>
      </c>
      <c r="M110" t="str">
        <f>VLOOKUP(A110,representatives_list!A:B,2,FALSE)</f>
        <v>Activating enzymes of the ubiquitin-like proteins</v>
      </c>
      <c r="N110" t="str">
        <f>VLOOKUP(B110,representatives_list!A:B,2,FALSE)</f>
        <v>Phosphoglycerate kinase</v>
      </c>
      <c r="O110" t="str">
        <f>VLOOKUP(aggregated_results!B110,representatives_list!A:E,5,FALSE)</f>
        <v>ABG(–)</v>
      </c>
      <c r="P110" t="str">
        <f>VLOOKUP(aggregated_results!B110,representatives_list!A:D,3,FALSE)</f>
        <v>Pi</v>
      </c>
      <c r="Q110" t="str">
        <f>VLOOKUP(aggregated_results!B110,representatives_list!A:D,4,FALSE)</f>
        <v>c.86.1</v>
      </c>
    </row>
    <row r="111" spans="1:17" x14ac:dyDescent="0.25">
      <c r="A111" t="s">
        <v>69</v>
      </c>
      <c r="B111" t="s">
        <v>58</v>
      </c>
      <c r="C111">
        <v>4.0999999999999996</v>
      </c>
      <c r="D111">
        <v>5.7</v>
      </c>
      <c r="E111">
        <v>82</v>
      </c>
      <c r="F111">
        <v>158</v>
      </c>
      <c r="G111">
        <v>7</v>
      </c>
      <c r="I111" t="str">
        <f t="shared" si="1"/>
        <v/>
      </c>
      <c r="J111" t="str">
        <f>VLOOKUP(aggregated_results!A111,representatives_list!A:D,4,FALSE)</f>
        <v>f.42.1</v>
      </c>
      <c r="K111" t="str">
        <f>VLOOKUP(aggregated_results!A111,representatives_list!A:D,3,FALSE)</f>
        <v>PPi</v>
      </c>
      <c r="L111" t="str">
        <f>VLOOKUP(aggregated_results!A111,representatives_list!A:E,5,FALSE)</f>
        <v>AB(–)</v>
      </c>
      <c r="M111" t="str">
        <f>VLOOKUP(A111,representatives_list!A:B,2,FALSE)</f>
        <v>Mitochondrial carrier</v>
      </c>
      <c r="N111" t="str">
        <f>VLOOKUP(B111,representatives_list!A:B,2,FALSE)</f>
        <v>Diacylglycerol kinase (DgkA)-like</v>
      </c>
      <c r="O111" t="str">
        <f>VLOOKUP(aggregated_results!B111,representatives_list!A:E,5,FALSE)</f>
        <v>BG(–)</v>
      </c>
      <c r="P111" t="str">
        <f>VLOOKUP(aggregated_results!B111,representatives_list!A:D,3,FALSE)</f>
        <v>Pi</v>
      </c>
      <c r="Q111" t="str">
        <f>VLOOKUP(aggregated_results!B111,representatives_list!A:D,4,FALSE)</f>
        <v>f.62.1</v>
      </c>
    </row>
    <row r="112" spans="1:17" x14ac:dyDescent="0.25">
      <c r="A112" t="s">
        <v>38</v>
      </c>
      <c r="B112" t="s">
        <v>58</v>
      </c>
      <c r="C112">
        <v>4.0999999999999996</v>
      </c>
      <c r="D112">
        <v>7.3</v>
      </c>
      <c r="E112">
        <v>78</v>
      </c>
      <c r="F112">
        <v>349</v>
      </c>
      <c r="G112">
        <v>6</v>
      </c>
      <c r="I112" t="str">
        <f t="shared" si="1"/>
        <v/>
      </c>
      <c r="J112" t="str">
        <f>VLOOKUP(aggregated_results!A112,representatives_list!A:D,4,FALSE)</f>
        <v>d.320.1</v>
      </c>
      <c r="K112" t="str">
        <f>VLOOKUP(aggregated_results!A112,representatives_list!A:D,3,FALSE)</f>
        <v>PPi</v>
      </c>
      <c r="L112" t="str">
        <f>VLOOKUP(aggregated_results!A112,representatives_list!A:E,5,FALSE)</f>
        <v>ABG(–)</v>
      </c>
      <c r="M112" t="str">
        <f>VLOOKUP(A112,representatives_list!A:B,2,FALSE)</f>
        <v>YojJ-like</v>
      </c>
      <c r="N112" t="str">
        <f>VLOOKUP(B112,representatives_list!A:B,2,FALSE)</f>
        <v>Diacylglycerol kinase (DgkA)-like</v>
      </c>
      <c r="O112" t="str">
        <f>VLOOKUP(aggregated_results!B112,representatives_list!A:E,5,FALSE)</f>
        <v>BG(–)</v>
      </c>
      <c r="P112" t="str">
        <f>VLOOKUP(aggregated_results!B112,representatives_list!A:D,3,FALSE)</f>
        <v>Pi</v>
      </c>
      <c r="Q112" t="str">
        <f>VLOOKUP(aggregated_results!B112,representatives_list!A:D,4,FALSE)</f>
        <v>f.62.1</v>
      </c>
    </row>
    <row r="113" spans="1:17" x14ac:dyDescent="0.25">
      <c r="A113" t="s">
        <v>66</v>
      </c>
      <c r="B113" t="s">
        <v>18</v>
      </c>
      <c r="C113">
        <v>4.0999999999999996</v>
      </c>
      <c r="D113">
        <v>4.5</v>
      </c>
      <c r="E113">
        <v>92</v>
      </c>
      <c r="F113">
        <v>146</v>
      </c>
      <c r="G113">
        <v>11</v>
      </c>
      <c r="I113" t="str">
        <f t="shared" si="1"/>
        <v>x</v>
      </c>
      <c r="J113" t="str">
        <f>VLOOKUP(aggregated_results!A113,representatives_list!A:D,4,FALSE)</f>
        <v>d.58.21</v>
      </c>
      <c r="K113" t="str">
        <f>VLOOKUP(aggregated_results!A113,representatives_list!A:D,3,FALSE)</f>
        <v>PPi</v>
      </c>
      <c r="L113" t="str">
        <f>VLOOKUP(aggregated_results!A113,representatives_list!A:E,5,FALSE)</f>
        <v>N/A</v>
      </c>
      <c r="M113" t="str">
        <f>VLOOKUP(A113,representatives_list!A:B,2,FALSE)</f>
        <v>Molybdenum cofactor biosynthesis protein C, MoaC</v>
      </c>
      <c r="N113" t="str">
        <f>VLOOKUP(B113,representatives_list!A:B,2,FALSE)</f>
        <v>Nucleotide cyclase</v>
      </c>
      <c r="O113" t="str">
        <f>VLOOKUP(aggregated_results!B113,representatives_list!A:E,5,FALSE)</f>
        <v>ABG(–)</v>
      </c>
      <c r="P113" t="str">
        <f>VLOOKUP(aggregated_results!B113,representatives_list!A:D,3,FALSE)</f>
        <v>PPi</v>
      </c>
      <c r="Q113" t="str">
        <f>VLOOKUP(aggregated_results!B113,representatives_list!A:D,4,FALSE)</f>
        <v>d.58.29</v>
      </c>
    </row>
    <row r="114" spans="1:17" x14ac:dyDescent="0.25">
      <c r="A114" t="s">
        <v>19</v>
      </c>
      <c r="B114" t="s">
        <v>41</v>
      </c>
      <c r="C114">
        <v>4.0999999999999996</v>
      </c>
      <c r="D114">
        <v>8.8000000000000007</v>
      </c>
      <c r="E114">
        <v>74</v>
      </c>
      <c r="F114">
        <v>417</v>
      </c>
      <c r="G114">
        <v>14</v>
      </c>
      <c r="I114" t="e">
        <f t="shared" si="1"/>
        <v>#N/A</v>
      </c>
      <c r="J114" t="str">
        <f>VLOOKUP(aggregated_results!A114,representatives_list!A:D,4,FALSE)</f>
        <v>N/A</v>
      </c>
      <c r="K114" t="str">
        <f>VLOOKUP(aggregated_results!A114,representatives_list!A:D,3,FALSE)</f>
        <v>PPi</v>
      </c>
      <c r="L114" t="str">
        <f>VLOOKUP(aggregated_results!A114,representatives_list!A:E,5,FALSE)</f>
        <v>N/A</v>
      </c>
      <c r="M114" t="str">
        <f>VLOOKUP(A114,representatives_list!A:B,2,FALSE)</f>
        <v>tRNA(Ile2) 2-agmatinylcytidine synthetase TiaS</v>
      </c>
      <c r="N114" t="str">
        <f>VLOOKUP(B114,representatives_list!A:B,2,FALSE)</f>
        <v>Molybdenum cofactor biosynthesis proteins</v>
      </c>
      <c r="O114" t="str">
        <f>VLOOKUP(aggregated_results!B114,representatives_list!A:E,5,FALSE)</f>
        <v>ABG(–)</v>
      </c>
      <c r="P114" t="str">
        <f>VLOOKUP(aggregated_results!B114,representatives_list!A:D,3,FALSE)</f>
        <v>Pi</v>
      </c>
      <c r="Q114" t="str">
        <f>VLOOKUP(aggregated_results!B114,representatives_list!A:D,4,FALSE)</f>
        <v>c.57.1</v>
      </c>
    </row>
    <row r="115" spans="1:17" x14ac:dyDescent="0.25">
      <c r="A115" t="s">
        <v>30</v>
      </c>
      <c r="B115" t="s">
        <v>41</v>
      </c>
      <c r="C115">
        <v>4.0999999999999996</v>
      </c>
      <c r="D115">
        <v>3.4</v>
      </c>
      <c r="E115">
        <v>100</v>
      </c>
      <c r="F115">
        <v>371</v>
      </c>
      <c r="G115">
        <v>18</v>
      </c>
      <c r="I115" t="str">
        <f t="shared" si="1"/>
        <v/>
      </c>
      <c r="J115" t="str">
        <f>VLOOKUP(aggregated_results!A115,representatives_list!A:D,4,FALSE)</f>
        <v>c.141.1</v>
      </c>
      <c r="K115" t="str">
        <f>VLOOKUP(aggregated_results!A115,representatives_list!A:D,3,FALSE)</f>
        <v>Pi</v>
      </c>
      <c r="L115" t="str">
        <f>VLOOKUP(aggregated_results!A115,representatives_list!A:E,5,FALSE)</f>
        <v>N/A</v>
      </c>
      <c r="M115" t="str">
        <f>VLOOKUP(A115,representatives_list!A:B,2,FALSE)</f>
        <v>Glycerate kinase I</v>
      </c>
      <c r="N115" t="str">
        <f>VLOOKUP(B115,representatives_list!A:B,2,FALSE)</f>
        <v>Molybdenum cofactor biosynthesis proteins</v>
      </c>
      <c r="O115" t="str">
        <f>VLOOKUP(aggregated_results!B115,representatives_list!A:E,5,FALSE)</f>
        <v>ABG(–)</v>
      </c>
      <c r="P115" t="str">
        <f>VLOOKUP(aggregated_results!B115,representatives_list!A:D,3,FALSE)</f>
        <v>Pi</v>
      </c>
      <c r="Q115" t="str">
        <f>VLOOKUP(aggregated_results!B115,representatives_list!A:D,4,FALSE)</f>
        <v>c.57.1</v>
      </c>
    </row>
    <row r="116" spans="1:17" x14ac:dyDescent="0.25">
      <c r="A116" t="s">
        <v>34</v>
      </c>
      <c r="B116" t="s">
        <v>51</v>
      </c>
      <c r="C116">
        <v>4</v>
      </c>
      <c r="D116">
        <v>4.0999999999999996</v>
      </c>
      <c r="E116">
        <v>134</v>
      </c>
      <c r="F116">
        <v>426</v>
      </c>
      <c r="G116">
        <v>5</v>
      </c>
      <c r="I116" t="str">
        <f t="shared" si="1"/>
        <v/>
      </c>
      <c r="J116" t="str">
        <f>VLOOKUP(aggregated_results!A116,representatives_list!A:D,4,FALSE)</f>
        <v>c.32.1</v>
      </c>
      <c r="K116" t="str">
        <f>VLOOKUP(aggregated_results!A116,representatives_list!A:D,3,FALSE)</f>
        <v>Pi</v>
      </c>
      <c r="L116" t="str">
        <f>VLOOKUP(aggregated_results!A116,representatives_list!A:E,5,FALSE)</f>
        <v>BG(–)</v>
      </c>
      <c r="M116" t="str">
        <f>VLOOKUP(A116,representatives_list!A:B,2,FALSE)</f>
        <v>Tubulin nucleotide-binding domain-like</v>
      </c>
      <c r="N116" t="str">
        <f>VLOOKUP(B116,representatives_list!A:B,2,FALSE)</f>
        <v>DhaL-like</v>
      </c>
      <c r="O116" t="str">
        <f>VLOOKUP(aggregated_results!B116,representatives_list!A:E,5,FALSE)</f>
        <v>BG(–)</v>
      </c>
      <c r="P116" t="str">
        <f>VLOOKUP(aggregated_results!B116,representatives_list!A:D,3,FALSE)</f>
        <v>Pi</v>
      </c>
      <c r="Q116" t="str">
        <f>VLOOKUP(aggregated_results!B116,representatives_list!A:D,4,FALSE)</f>
        <v>a.208.1</v>
      </c>
    </row>
    <row r="117" spans="1:17" x14ac:dyDescent="0.25">
      <c r="A117" t="s">
        <v>70</v>
      </c>
      <c r="B117" t="s">
        <v>33</v>
      </c>
      <c r="C117">
        <v>4</v>
      </c>
      <c r="D117">
        <v>4.0999999999999996</v>
      </c>
      <c r="E117">
        <v>114</v>
      </c>
      <c r="F117">
        <v>393</v>
      </c>
      <c r="G117">
        <v>6</v>
      </c>
      <c r="I117" t="str">
        <f t="shared" si="1"/>
        <v/>
      </c>
      <c r="J117" t="str">
        <f>VLOOKUP(aggregated_results!A117,representatives_list!A:D,4,FALSE)</f>
        <v>d.130.1</v>
      </c>
      <c r="K117" t="str">
        <f>VLOOKUP(aggregated_results!A117,representatives_list!A:D,3,FALSE)</f>
        <v>PPPi</v>
      </c>
      <c r="L117" t="str">
        <f>VLOOKUP(aggregated_results!A117,representatives_list!A:E,5,FALSE)</f>
        <v>ABG(–)</v>
      </c>
      <c r="M117" t="str">
        <f>VLOOKUP(A117,representatives_list!A:B,2,FALSE)</f>
        <v>S-adenosylmethionine synthetase</v>
      </c>
      <c r="N117" t="str">
        <f>VLOOKUP(B117,representatives_list!A:B,2,FALSE)</f>
        <v>Acetyl-CoA synthetase-like</v>
      </c>
      <c r="O117" t="str">
        <f>VLOOKUP(aggregated_results!B117,representatives_list!A:E,5,FALSE)</f>
        <v>BG(+)</v>
      </c>
      <c r="P117" t="str">
        <f>VLOOKUP(aggregated_results!B117,representatives_list!A:D,3,FALSE)</f>
        <v>PPi</v>
      </c>
      <c r="Q117" t="str">
        <f>VLOOKUP(aggregated_results!B117,representatives_list!A:D,4,FALSE)</f>
        <v>e.23.1</v>
      </c>
    </row>
    <row r="118" spans="1:17" x14ac:dyDescent="0.25">
      <c r="A118" t="s">
        <v>28</v>
      </c>
      <c r="B118" t="s">
        <v>30</v>
      </c>
      <c r="C118">
        <v>4</v>
      </c>
      <c r="D118">
        <v>4.2</v>
      </c>
      <c r="E118">
        <v>120</v>
      </c>
      <c r="F118">
        <v>301</v>
      </c>
      <c r="G118">
        <v>14</v>
      </c>
      <c r="I118" t="str">
        <f t="shared" si="1"/>
        <v/>
      </c>
      <c r="J118" t="str">
        <f>VLOOKUP(aggregated_results!A118,representatives_list!A:D,4,FALSE)</f>
        <v>c.111.1</v>
      </c>
      <c r="K118" t="str">
        <f>VLOOKUP(aggregated_results!A118,representatives_list!A:D,3,FALSE)</f>
        <v>PPi</v>
      </c>
      <c r="L118" t="str">
        <f>VLOOKUP(aggregated_results!A118,representatives_list!A:E,5,FALSE)</f>
        <v>ABG(+)</v>
      </c>
      <c r="M118" t="str">
        <f>VLOOKUP(A118,representatives_list!A:B,2,FALSE)</f>
        <v>Activating enzymes of the ubiquitin-like proteins</v>
      </c>
      <c r="N118" t="str">
        <f>VLOOKUP(B118,representatives_list!A:B,2,FALSE)</f>
        <v>Glycerate kinase I</v>
      </c>
      <c r="O118" t="str">
        <f>VLOOKUP(aggregated_results!B118,representatives_list!A:E,5,FALSE)</f>
        <v>N/A</v>
      </c>
      <c r="P118" t="str">
        <f>VLOOKUP(aggregated_results!B118,representatives_list!A:D,3,FALSE)</f>
        <v>Pi</v>
      </c>
      <c r="Q118" t="str">
        <f>VLOOKUP(aggregated_results!B118,representatives_list!A:D,4,FALSE)</f>
        <v>c.141.1</v>
      </c>
    </row>
    <row r="119" spans="1:17" x14ac:dyDescent="0.25">
      <c r="A119" t="s">
        <v>47</v>
      </c>
      <c r="B119" t="s">
        <v>26</v>
      </c>
      <c r="C119">
        <v>4</v>
      </c>
      <c r="D119">
        <v>6.2</v>
      </c>
      <c r="E119">
        <v>94</v>
      </c>
      <c r="F119">
        <v>159</v>
      </c>
      <c r="G119">
        <v>10</v>
      </c>
      <c r="I119" t="str">
        <f t="shared" si="1"/>
        <v>x</v>
      </c>
      <c r="J119" t="str">
        <f>VLOOKUP(aggregated_results!A119,representatives_list!A:D,4,FALSE)</f>
        <v>d.58.30</v>
      </c>
      <c r="K119" t="str">
        <f>VLOOKUP(aggregated_results!A119,representatives_list!A:D,3,FALSE)</f>
        <v>PPi</v>
      </c>
      <c r="L119" t="str">
        <f>VLOOKUP(aggregated_results!A119,representatives_list!A:E,5,FALSE)</f>
        <v>AB(+)</v>
      </c>
      <c r="M119" t="str">
        <f>VLOOKUP(A119,representatives_list!A:B,2,FALSE)</f>
        <v>6-hydroxymethyl-7,8-dihydropterin pyrophosphokinase, HPPK</v>
      </c>
      <c r="N119" t="str">
        <f>VLOOKUP(B119,representatives_list!A:B,2,FALSE)</f>
        <v>GlnB-like</v>
      </c>
      <c r="O119" t="str">
        <f>VLOOKUP(aggregated_results!B119,representatives_list!A:E,5,FALSE)</f>
        <v>ABG(–)</v>
      </c>
      <c r="P119" t="str">
        <f>VLOOKUP(aggregated_results!B119,representatives_list!A:D,3,FALSE)</f>
        <v>Pi</v>
      </c>
      <c r="Q119" t="str">
        <f>VLOOKUP(aggregated_results!B119,representatives_list!A:D,4,FALSE)</f>
        <v>d.58.5</v>
      </c>
    </row>
    <row r="120" spans="1:17" x14ac:dyDescent="0.25">
      <c r="A120" t="s">
        <v>21</v>
      </c>
      <c r="B120" t="s">
        <v>50</v>
      </c>
      <c r="C120">
        <v>4</v>
      </c>
      <c r="D120">
        <v>3.1</v>
      </c>
      <c r="E120">
        <v>77</v>
      </c>
      <c r="F120">
        <v>753</v>
      </c>
      <c r="G120">
        <v>12</v>
      </c>
      <c r="I120" t="str">
        <f t="shared" si="1"/>
        <v/>
      </c>
      <c r="J120" t="str">
        <f>VLOOKUP(aggregated_results!A120,representatives_list!A:D,4,FALSE)</f>
        <v>d.115.1</v>
      </c>
      <c r="K120" t="str">
        <f>VLOOKUP(aggregated_results!A120,representatives_list!A:D,3,FALSE)</f>
        <v>PPi</v>
      </c>
      <c r="L120" t="str">
        <f>VLOOKUP(aggregated_results!A120,representatives_list!A:E,5,FALSE)</f>
        <v>ABG(–)</v>
      </c>
      <c r="M120" t="str">
        <f>VLOOKUP(A120,representatives_list!A:B,2,FALSE)</f>
        <v>YrdC/RibB</v>
      </c>
      <c r="N120" t="str">
        <f>VLOOKUP(B120,representatives_list!A:B,2,FALSE)</f>
        <v>Nucleoside diphosphate kinase, NDK</v>
      </c>
      <c r="O120" t="str">
        <f>VLOOKUP(aggregated_results!B120,representatives_list!A:E,5,FALSE)</f>
        <v>ABG(+)</v>
      </c>
      <c r="P120" t="str">
        <f>VLOOKUP(aggregated_results!B120,representatives_list!A:D,3,FALSE)</f>
        <v>Pi</v>
      </c>
      <c r="Q120" t="str">
        <f>VLOOKUP(aggregated_results!B120,representatives_list!A:D,4,FALSE)</f>
        <v>d.58.6</v>
      </c>
    </row>
    <row r="121" spans="1:17" x14ac:dyDescent="0.25">
      <c r="A121" t="s">
        <v>66</v>
      </c>
      <c r="B121" t="s">
        <v>41</v>
      </c>
      <c r="C121">
        <v>4</v>
      </c>
      <c r="D121">
        <v>7.6</v>
      </c>
      <c r="E121">
        <v>80</v>
      </c>
      <c r="F121">
        <v>146</v>
      </c>
      <c r="G121">
        <v>15</v>
      </c>
      <c r="I121" t="str">
        <f t="shared" si="1"/>
        <v/>
      </c>
      <c r="J121" t="str">
        <f>VLOOKUP(aggregated_results!A121,representatives_list!A:D,4,FALSE)</f>
        <v>d.58.21</v>
      </c>
      <c r="K121" t="str">
        <f>VLOOKUP(aggregated_results!A121,representatives_list!A:D,3,FALSE)</f>
        <v>PPi</v>
      </c>
      <c r="L121" t="str">
        <f>VLOOKUP(aggregated_results!A121,representatives_list!A:E,5,FALSE)</f>
        <v>N/A</v>
      </c>
      <c r="M121" t="str">
        <f>VLOOKUP(A121,representatives_list!A:B,2,FALSE)</f>
        <v>Molybdenum cofactor biosynthesis protein C, MoaC</v>
      </c>
      <c r="N121" t="str">
        <f>VLOOKUP(B121,representatives_list!A:B,2,FALSE)</f>
        <v>Molybdenum cofactor biosynthesis proteins</v>
      </c>
      <c r="O121" t="str">
        <f>VLOOKUP(aggregated_results!B121,representatives_list!A:E,5,FALSE)</f>
        <v>ABG(–)</v>
      </c>
      <c r="P121" t="str">
        <f>VLOOKUP(aggregated_results!B121,representatives_list!A:D,3,FALSE)</f>
        <v>Pi</v>
      </c>
      <c r="Q121" t="str">
        <f>VLOOKUP(aggregated_results!B121,representatives_list!A:D,4,FALSE)</f>
        <v>c.57.1</v>
      </c>
    </row>
    <row r="122" spans="1:17" x14ac:dyDescent="0.25">
      <c r="A122" t="s">
        <v>27</v>
      </c>
      <c r="B122" t="s">
        <v>42</v>
      </c>
      <c r="C122">
        <v>3.9</v>
      </c>
      <c r="D122">
        <v>2.8</v>
      </c>
      <c r="E122">
        <v>87</v>
      </c>
      <c r="F122">
        <v>304</v>
      </c>
      <c r="G122">
        <v>9</v>
      </c>
      <c r="I122" t="str">
        <f t="shared" si="1"/>
        <v/>
      </c>
      <c r="J122" t="str">
        <f>VLOOKUP(aggregated_results!A122,representatives_list!A:D,4,FALSE)</f>
        <v>c.72.3</v>
      </c>
      <c r="K122" t="str">
        <f>VLOOKUP(aggregated_results!A122,representatives_list!A:D,3,FALSE)</f>
        <v>PPi</v>
      </c>
      <c r="L122" t="str">
        <f>VLOOKUP(aggregated_results!A122,representatives_list!A:E,5,FALSE)</f>
        <v>ABG(–)</v>
      </c>
      <c r="M122" t="str">
        <f>VLOOKUP(A122,representatives_list!A:B,2,FALSE)</f>
        <v>CoaB-like</v>
      </c>
      <c r="N122" t="str">
        <f>VLOOKUP(B122,representatives_list!A:B,2,FALSE)</f>
        <v>NAD kinase/diacylglycerol kinase-like</v>
      </c>
      <c r="O122" t="str">
        <f>VLOOKUP(aggregated_results!B122,representatives_list!A:E,5,FALSE)</f>
        <v>ABG(+)</v>
      </c>
      <c r="P122" t="str">
        <f>VLOOKUP(aggregated_results!B122,representatives_list!A:D,3,FALSE)</f>
        <v>Pi</v>
      </c>
      <c r="Q122" t="str">
        <f>VLOOKUP(aggregated_results!B122,representatives_list!A:D,4,FALSE)</f>
        <v>e.52.1</v>
      </c>
    </row>
    <row r="123" spans="1:17" x14ac:dyDescent="0.25">
      <c r="A123" t="s">
        <v>23</v>
      </c>
      <c r="B123" t="s">
        <v>35</v>
      </c>
      <c r="C123">
        <v>3.9</v>
      </c>
      <c r="D123">
        <v>3.4</v>
      </c>
      <c r="E123">
        <v>99</v>
      </c>
      <c r="F123">
        <v>307</v>
      </c>
      <c r="G123">
        <v>8</v>
      </c>
      <c r="I123" t="str">
        <f t="shared" si="1"/>
        <v/>
      </c>
      <c r="J123" t="str">
        <f>VLOOKUP(aggregated_results!A123,representatives_list!A:D,4,FALSE)</f>
        <v>c.72.2</v>
      </c>
      <c r="K123" t="str">
        <f>VLOOKUP(aggregated_results!A123,representatives_list!A:D,3,FALSE)</f>
        <v>Pi</v>
      </c>
      <c r="L123" t="str">
        <f>VLOOKUP(aggregated_results!A123,representatives_list!A:E,5,FALSE)</f>
        <v>BG(–)</v>
      </c>
      <c r="M123" t="str">
        <f>VLOOKUP(A123,representatives_list!A:B,2,FALSE)</f>
        <v>MurD-like peptide ligases, catalytic domain</v>
      </c>
      <c r="N123" t="str">
        <f>VLOOKUP(B123,representatives_list!A:B,2,FALSE)</f>
        <v>Phosphoglycerate kinase</v>
      </c>
      <c r="O123" t="str">
        <f>VLOOKUP(aggregated_results!B123,representatives_list!A:E,5,FALSE)</f>
        <v>ABG(–)</v>
      </c>
      <c r="P123" t="str">
        <f>VLOOKUP(aggregated_results!B123,representatives_list!A:D,3,FALSE)</f>
        <v>Pi</v>
      </c>
      <c r="Q123" t="str">
        <f>VLOOKUP(aggregated_results!B123,representatives_list!A:D,4,FALSE)</f>
        <v>c.86.1</v>
      </c>
    </row>
    <row r="124" spans="1:17" x14ac:dyDescent="0.25">
      <c r="A124" t="s">
        <v>58</v>
      </c>
      <c r="B124" t="s">
        <v>48</v>
      </c>
      <c r="C124">
        <v>3.9</v>
      </c>
      <c r="D124">
        <v>4.5999999999999996</v>
      </c>
      <c r="E124">
        <v>67</v>
      </c>
      <c r="F124">
        <v>105</v>
      </c>
      <c r="G124">
        <v>7</v>
      </c>
      <c r="I124" t="str">
        <f t="shared" si="1"/>
        <v/>
      </c>
      <c r="J124" t="str">
        <f>VLOOKUP(aggregated_results!A124,representatives_list!A:D,4,FALSE)</f>
        <v>f.62.1</v>
      </c>
      <c r="K124" t="str">
        <f>VLOOKUP(aggregated_results!A124,representatives_list!A:D,3,FALSE)</f>
        <v>Pi</v>
      </c>
      <c r="L124" t="str">
        <f>VLOOKUP(aggregated_results!A124,representatives_list!A:E,5,FALSE)</f>
        <v>BG(–)</v>
      </c>
      <c r="M124" t="str">
        <f>VLOOKUP(A124,representatives_list!A:B,2,FALSE)</f>
        <v>Diacylglycerol kinase (DgkA)-like</v>
      </c>
      <c r="N124" t="str">
        <f>VLOOKUP(B124,representatives_list!A:B,2,FALSE)</f>
        <v>Metal cation-transporting ATPase, ATP-binding domain N</v>
      </c>
      <c r="O124" t="str">
        <f>VLOOKUP(aggregated_results!B124,representatives_list!A:E,5,FALSE)</f>
        <v>BG(–)</v>
      </c>
      <c r="P124" t="str">
        <f>VLOOKUP(aggregated_results!B124,representatives_list!A:D,3,FALSE)</f>
        <v>Pi</v>
      </c>
      <c r="Q124" t="str">
        <f>VLOOKUP(aggregated_results!B124,representatives_list!A:D,4,FALSE)</f>
        <v>d.220.1</v>
      </c>
    </row>
    <row r="125" spans="1:17" x14ac:dyDescent="0.25">
      <c r="A125" t="s">
        <v>47</v>
      </c>
      <c r="B125" t="s">
        <v>31</v>
      </c>
      <c r="C125">
        <v>3.9</v>
      </c>
      <c r="D125">
        <v>3.6</v>
      </c>
      <c r="E125">
        <v>81</v>
      </c>
      <c r="F125">
        <v>159</v>
      </c>
      <c r="G125">
        <v>4</v>
      </c>
      <c r="I125" t="str">
        <f t="shared" si="1"/>
        <v>x</v>
      </c>
      <c r="J125" t="str">
        <f>VLOOKUP(aggregated_results!A125,representatives_list!A:D,4,FALSE)</f>
        <v>d.58.30</v>
      </c>
      <c r="K125" t="str">
        <f>VLOOKUP(aggregated_results!A125,representatives_list!A:D,3,FALSE)</f>
        <v>PPi</v>
      </c>
      <c r="L125" t="str">
        <f>VLOOKUP(aggregated_results!A125,representatives_list!A:E,5,FALSE)</f>
        <v>AB(+)</v>
      </c>
      <c r="M125" t="str">
        <f>VLOOKUP(A125,representatives_list!A:B,2,FALSE)</f>
        <v>6-hydroxymethyl-7,8-dihydropterin pyrophosphokinase, HPPK</v>
      </c>
      <c r="N125" t="str">
        <f>VLOOKUP(B125,representatives_list!A:B,2,FALSE)</f>
        <v>GHMP Kinase, C-terminal domain</v>
      </c>
      <c r="O125" t="str">
        <f>VLOOKUP(aggregated_results!B125,representatives_list!A:E,5,FALSE)</f>
        <v>ABG(+)</v>
      </c>
      <c r="P125" t="str">
        <f>VLOOKUP(aggregated_results!B125,representatives_list!A:D,3,FALSE)</f>
        <v>Pi</v>
      </c>
      <c r="Q125" t="str">
        <f>VLOOKUP(aggregated_results!B125,representatives_list!A:D,4,FALSE)</f>
        <v>d.58.26</v>
      </c>
    </row>
    <row r="126" spans="1:17" x14ac:dyDescent="0.25">
      <c r="A126" t="s">
        <v>48</v>
      </c>
      <c r="B126" t="s">
        <v>37</v>
      </c>
      <c r="C126">
        <v>3.9</v>
      </c>
      <c r="D126">
        <v>15.6</v>
      </c>
      <c r="E126">
        <v>162</v>
      </c>
      <c r="F126">
        <v>994</v>
      </c>
      <c r="G126">
        <v>8</v>
      </c>
      <c r="I126" t="str">
        <f t="shared" si="1"/>
        <v/>
      </c>
      <c r="J126" t="str">
        <f>VLOOKUP(aggregated_results!A126,representatives_list!A:D,4,FALSE)</f>
        <v>d.220.1</v>
      </c>
      <c r="K126" t="str">
        <f>VLOOKUP(aggregated_results!A126,representatives_list!A:D,3,FALSE)</f>
        <v>Pi</v>
      </c>
      <c r="L126" t="str">
        <f>VLOOKUP(aggregated_results!A126,representatives_list!A:E,5,FALSE)</f>
        <v>BG(–)</v>
      </c>
      <c r="M126" t="str">
        <f>VLOOKUP(A126,representatives_list!A:B,2,FALSE)</f>
        <v>Metal cation-transporting ATPase, ATP-binding domain N</v>
      </c>
      <c r="N126" t="str">
        <f>VLOOKUP(B126,representatives_list!A:B,2,FALSE)</f>
        <v>Phosphofructokinase</v>
      </c>
      <c r="O126" t="str">
        <f>VLOOKUP(aggregated_results!B126,representatives_list!A:E,5,FALSE)</f>
        <v>ABG(–)</v>
      </c>
      <c r="P126" t="str">
        <f>VLOOKUP(aggregated_results!B126,representatives_list!A:D,3,FALSE)</f>
        <v>Pi</v>
      </c>
      <c r="Q126" t="str">
        <f>VLOOKUP(aggregated_results!B126,representatives_list!A:D,4,FALSE)</f>
        <v>c.89.1</v>
      </c>
    </row>
    <row r="127" spans="1:17" x14ac:dyDescent="0.25">
      <c r="A127" t="s">
        <v>21</v>
      </c>
      <c r="B127" t="s">
        <v>47</v>
      </c>
      <c r="C127">
        <v>3.9</v>
      </c>
      <c r="D127">
        <v>3.2</v>
      </c>
      <c r="E127">
        <v>78</v>
      </c>
      <c r="F127">
        <v>753</v>
      </c>
      <c r="G127">
        <v>5</v>
      </c>
      <c r="I127" t="str">
        <f t="shared" si="1"/>
        <v/>
      </c>
      <c r="J127" t="str">
        <f>VLOOKUP(aggregated_results!A127,representatives_list!A:D,4,FALSE)</f>
        <v>d.115.1</v>
      </c>
      <c r="K127" t="str">
        <f>VLOOKUP(aggregated_results!A127,representatives_list!A:D,3,FALSE)</f>
        <v>PPi</v>
      </c>
      <c r="L127" t="str">
        <f>VLOOKUP(aggregated_results!A127,representatives_list!A:E,5,FALSE)</f>
        <v>ABG(–)</v>
      </c>
      <c r="M127" t="str">
        <f>VLOOKUP(A127,representatives_list!A:B,2,FALSE)</f>
        <v>YrdC/RibB</v>
      </c>
      <c r="N127" t="str">
        <f>VLOOKUP(B127,representatives_list!A:B,2,FALSE)</f>
        <v>6-hydroxymethyl-7,8-dihydropterin pyrophosphokinase, HPPK</v>
      </c>
      <c r="O127" t="str">
        <f>VLOOKUP(aggregated_results!B127,representatives_list!A:E,5,FALSE)</f>
        <v>AB(+)</v>
      </c>
      <c r="P127" t="str">
        <f>VLOOKUP(aggregated_results!B127,representatives_list!A:D,3,FALSE)</f>
        <v>PPi</v>
      </c>
      <c r="Q127" t="str">
        <f>VLOOKUP(aggregated_results!B127,representatives_list!A:D,4,FALSE)</f>
        <v>d.58.30</v>
      </c>
    </row>
    <row r="128" spans="1:17" x14ac:dyDescent="0.25">
      <c r="A128" t="s">
        <v>31</v>
      </c>
      <c r="B128" t="s">
        <v>41</v>
      </c>
      <c r="C128">
        <v>3.9</v>
      </c>
      <c r="D128">
        <v>4</v>
      </c>
      <c r="E128">
        <v>78</v>
      </c>
      <c r="F128">
        <v>516</v>
      </c>
      <c r="G128">
        <v>9</v>
      </c>
      <c r="I128" t="str">
        <f t="shared" si="1"/>
        <v/>
      </c>
      <c r="J128" t="str">
        <f>VLOOKUP(aggregated_results!A128,representatives_list!A:D,4,FALSE)</f>
        <v>d.58.26</v>
      </c>
      <c r="K128" t="str">
        <f>VLOOKUP(aggregated_results!A128,representatives_list!A:D,3,FALSE)</f>
        <v>Pi</v>
      </c>
      <c r="L128" t="str">
        <f>VLOOKUP(aggregated_results!A128,representatives_list!A:E,5,FALSE)</f>
        <v>ABG(+)</v>
      </c>
      <c r="M128" t="str">
        <f>VLOOKUP(A128,representatives_list!A:B,2,FALSE)</f>
        <v>GHMP Kinase, C-terminal domain</v>
      </c>
      <c r="N128" t="str">
        <f>VLOOKUP(B128,representatives_list!A:B,2,FALSE)</f>
        <v>Molybdenum cofactor biosynthesis proteins</v>
      </c>
      <c r="O128" t="str">
        <f>VLOOKUP(aggregated_results!B128,representatives_list!A:E,5,FALSE)</f>
        <v>ABG(–)</v>
      </c>
      <c r="P128" t="str">
        <f>VLOOKUP(aggregated_results!B128,representatives_list!A:D,3,FALSE)</f>
        <v>Pi</v>
      </c>
      <c r="Q128" t="str">
        <f>VLOOKUP(aggregated_results!B128,representatives_list!A:D,4,FALSE)</f>
        <v>c.57.1</v>
      </c>
    </row>
    <row r="129" spans="1:17" x14ac:dyDescent="0.25">
      <c r="A129" t="s">
        <v>71</v>
      </c>
      <c r="B129" t="s">
        <v>72</v>
      </c>
      <c r="C129">
        <v>3.9</v>
      </c>
      <c r="D129">
        <v>6.1</v>
      </c>
      <c r="E129">
        <v>72</v>
      </c>
      <c r="F129">
        <v>336</v>
      </c>
      <c r="G129">
        <v>7</v>
      </c>
      <c r="I129" t="e">
        <f t="shared" si="1"/>
        <v>#N/A</v>
      </c>
      <c r="J129" t="str">
        <f>VLOOKUP(aggregated_results!A129,representatives_list!A:D,4,FALSE)</f>
        <v>d.68.2</v>
      </c>
      <c r="K129" t="str">
        <f>VLOOKUP(aggregated_results!A129,representatives_list!A:D,3,FALSE)</f>
        <v>PPi</v>
      </c>
      <c r="L129" t="str">
        <f>VLOOKUP(aggregated_results!A129,representatives_list!A:E,5,FALSE)</f>
        <v>ABG(–)</v>
      </c>
      <c r="M129" t="str">
        <f>VLOOKUP(A129,representatives_list!A:B,2,FALSE)</f>
        <v>EPT/RTPC-like</v>
      </c>
      <c r="N129" t="str">
        <f>VLOOKUP(B129,representatives_list!A:B,2,FALSE)</f>
        <v>YcaO-related McrA-glycine thioamidation protein</v>
      </c>
      <c r="O129" t="str">
        <f>VLOOKUP(aggregated_results!B129,representatives_list!A:E,5,FALSE)</f>
        <v>BG(–)</v>
      </c>
      <c r="P129" t="str">
        <f>VLOOKUP(aggregated_results!B129,representatives_list!A:D,3,FALSE)</f>
        <v>Pi</v>
      </c>
      <c r="Q129" t="str">
        <f>VLOOKUP(aggregated_results!B129,representatives_list!A:D,4,FALSE)</f>
        <v>N/A</v>
      </c>
    </row>
    <row r="130" spans="1:17" x14ac:dyDescent="0.25">
      <c r="A130" t="s">
        <v>42</v>
      </c>
      <c r="B130" t="s">
        <v>37</v>
      </c>
      <c r="C130">
        <v>3.9</v>
      </c>
      <c r="D130">
        <v>3.6</v>
      </c>
      <c r="E130">
        <v>99</v>
      </c>
      <c r="F130">
        <v>248</v>
      </c>
      <c r="G130">
        <v>17</v>
      </c>
      <c r="I130" t="str">
        <f t="shared" si="1"/>
        <v/>
      </c>
      <c r="J130" t="str">
        <f>VLOOKUP(aggregated_results!A130,representatives_list!A:D,4,FALSE)</f>
        <v>e.52.1</v>
      </c>
      <c r="K130" t="str">
        <f>VLOOKUP(aggregated_results!A130,representatives_list!A:D,3,FALSE)</f>
        <v>Pi</v>
      </c>
      <c r="L130" t="str">
        <f>VLOOKUP(aggregated_results!A130,representatives_list!A:E,5,FALSE)</f>
        <v>ABG(+)</v>
      </c>
      <c r="M130" t="str">
        <f>VLOOKUP(A130,representatives_list!A:B,2,FALSE)</f>
        <v>NAD kinase/diacylglycerol kinase-like</v>
      </c>
      <c r="N130" t="str">
        <f>VLOOKUP(B130,representatives_list!A:B,2,FALSE)</f>
        <v>Phosphofructokinase</v>
      </c>
      <c r="O130" t="str">
        <f>VLOOKUP(aggregated_results!B130,representatives_list!A:E,5,FALSE)</f>
        <v>ABG(–)</v>
      </c>
      <c r="P130" t="str">
        <f>VLOOKUP(aggregated_results!B130,representatives_list!A:D,3,FALSE)</f>
        <v>Pi</v>
      </c>
      <c r="Q130" t="str">
        <f>VLOOKUP(aggregated_results!B130,representatives_list!A:D,4,FALSE)</f>
        <v>c.89.1</v>
      </c>
    </row>
    <row r="131" spans="1:17" x14ac:dyDescent="0.25">
      <c r="A131" t="s">
        <v>73</v>
      </c>
      <c r="B131" t="s">
        <v>23</v>
      </c>
      <c r="C131">
        <v>3.9</v>
      </c>
      <c r="D131">
        <v>3.8</v>
      </c>
      <c r="E131">
        <v>107</v>
      </c>
      <c r="F131">
        <v>497</v>
      </c>
      <c r="G131">
        <v>7</v>
      </c>
      <c r="I131" t="str">
        <f t="shared" ref="I131:I194" si="2">IF(_xlfn.TEXTBEFORE(J131,".",2,0,1)=_xlfn.TEXTBEFORE(Q131,".",2,0,1),"x","")</f>
        <v/>
      </c>
      <c r="J131" t="str">
        <f>VLOOKUP(aggregated_results!A131,representatives_list!A:D,4,FALSE)</f>
        <v>c.26.2</v>
      </c>
      <c r="K131" t="str">
        <f>VLOOKUP(aggregated_results!A131,representatives_list!A:D,3,FALSE)</f>
        <v>PPi</v>
      </c>
      <c r="L131" t="str">
        <f>VLOOKUP(aggregated_results!A131,representatives_list!A:E,5,FALSE)</f>
        <v>ABG(+)</v>
      </c>
      <c r="M131" t="str">
        <f>VLOOKUP(A131,representatives_list!A:B,2,FALSE)</f>
        <v>Adenine nucleotide alpha hydrolases-like</v>
      </c>
      <c r="N131" t="str">
        <f>VLOOKUP(B131,representatives_list!A:B,2,FALSE)</f>
        <v>MurD-like peptide ligases, catalytic domain</v>
      </c>
      <c r="O131" t="str">
        <f>VLOOKUP(aggregated_results!B131,representatives_list!A:E,5,FALSE)</f>
        <v>BG(–)</v>
      </c>
      <c r="P131" t="str">
        <f>VLOOKUP(aggregated_results!B131,representatives_list!A:D,3,FALSE)</f>
        <v>Pi</v>
      </c>
      <c r="Q131" t="str">
        <f>VLOOKUP(aggregated_results!B131,representatives_list!A:D,4,FALSE)</f>
        <v>c.72.2</v>
      </c>
    </row>
    <row r="132" spans="1:17" x14ac:dyDescent="0.25">
      <c r="A132" t="s">
        <v>74</v>
      </c>
      <c r="B132" t="s">
        <v>56</v>
      </c>
      <c r="C132">
        <v>3.9</v>
      </c>
      <c r="D132">
        <v>9</v>
      </c>
      <c r="E132">
        <v>88</v>
      </c>
      <c r="F132">
        <v>469</v>
      </c>
      <c r="G132">
        <v>13</v>
      </c>
      <c r="I132" t="str">
        <f t="shared" si="2"/>
        <v/>
      </c>
      <c r="J132" t="str">
        <f>VLOOKUP(aggregated_results!A132,representatives_list!A:D,4,FALSE)</f>
        <v>c.26.1</v>
      </c>
      <c r="K132" t="str">
        <f>VLOOKUP(aggregated_results!A132,representatives_list!A:D,3,FALSE)</f>
        <v>PPi</v>
      </c>
      <c r="L132" t="str">
        <f>VLOOKUP(aggregated_results!A132,representatives_list!A:E,5,FALSE)</f>
        <v>ABG(–)</v>
      </c>
      <c r="M132" t="str">
        <f>VLOOKUP(A132,representatives_list!A:B,2,FALSE)</f>
        <v>Nucleotidylyl transferase</v>
      </c>
      <c r="N132" t="str">
        <f>VLOOKUP(B132,representatives_list!A:B,2,FALSE)</f>
        <v>GroEL equatorial domain-like</v>
      </c>
      <c r="O132" t="str">
        <f>VLOOKUP(aggregated_results!B132,representatives_list!A:E,5,FALSE)</f>
        <v>ABG(+)</v>
      </c>
      <c r="P132" t="str">
        <f>VLOOKUP(aggregated_results!B132,representatives_list!A:D,3,FALSE)</f>
        <v>Pi</v>
      </c>
      <c r="Q132" t="str">
        <f>VLOOKUP(aggregated_results!B132,representatives_list!A:D,4,FALSE)</f>
        <v>a.129.1</v>
      </c>
    </row>
    <row r="133" spans="1:17" x14ac:dyDescent="0.25">
      <c r="A133" t="s">
        <v>29</v>
      </c>
      <c r="B133" t="s">
        <v>32</v>
      </c>
      <c r="C133">
        <v>3.8</v>
      </c>
      <c r="D133">
        <v>4</v>
      </c>
      <c r="E133">
        <v>98</v>
      </c>
      <c r="F133">
        <v>309</v>
      </c>
      <c r="G133">
        <v>9</v>
      </c>
      <c r="I133" t="str">
        <f t="shared" si="2"/>
        <v/>
      </c>
      <c r="J133" t="str">
        <f>VLOOKUP(aggregated_results!A133,representatives_list!A:D,4,FALSE)</f>
        <v>c.61.1</v>
      </c>
      <c r="K133" t="str">
        <f>VLOOKUP(aggregated_results!A133,representatives_list!A:D,3,FALSE)</f>
        <v>PPi</v>
      </c>
      <c r="L133" t="str">
        <f>VLOOKUP(aggregated_results!A133,representatives_list!A:E,5,FALSE)</f>
        <v>ABG(+)</v>
      </c>
      <c r="M133" t="str">
        <f>VLOOKUP(A133,representatives_list!A:B,2,FALSE)</f>
        <v>PRTase-like</v>
      </c>
      <c r="N133" t="str">
        <f>VLOOKUP(B133,representatives_list!A:B,2,FALSE)</f>
        <v>Phosphoenolpyruvate/pyruvate domain</v>
      </c>
      <c r="O133" t="str">
        <f>VLOOKUP(aggregated_results!B133,representatives_list!A:E,5,FALSE)</f>
        <v>ABG(–)</v>
      </c>
      <c r="P133" t="str">
        <f>VLOOKUP(aggregated_results!B133,representatives_list!A:D,3,FALSE)</f>
        <v>Pi</v>
      </c>
      <c r="Q133" t="str">
        <f>VLOOKUP(aggregated_results!B133,representatives_list!A:D,4,FALSE)</f>
        <v>c.1.12</v>
      </c>
    </row>
    <row r="134" spans="1:17" x14ac:dyDescent="0.25">
      <c r="A134" t="s">
        <v>29</v>
      </c>
      <c r="B134" t="s">
        <v>24</v>
      </c>
      <c r="C134">
        <v>3.8</v>
      </c>
      <c r="D134">
        <v>4.3</v>
      </c>
      <c r="E134">
        <v>122</v>
      </c>
      <c r="F134">
        <v>309</v>
      </c>
      <c r="G134">
        <v>3</v>
      </c>
      <c r="I134" t="str">
        <f t="shared" si="2"/>
        <v/>
      </c>
      <c r="J134" t="str">
        <f>VLOOKUP(aggregated_results!A134,representatives_list!A:D,4,FALSE)</f>
        <v>c.61.1</v>
      </c>
      <c r="K134" t="str">
        <f>VLOOKUP(aggregated_results!A134,representatives_list!A:D,3,FALSE)</f>
        <v>PPi</v>
      </c>
      <c r="L134" t="str">
        <f>VLOOKUP(aggregated_results!A134,representatives_list!A:E,5,FALSE)</f>
        <v>ABG(+)</v>
      </c>
      <c r="M134" t="str">
        <f>VLOOKUP(A134,representatives_list!A:B,2,FALSE)</f>
        <v>PRTase-like</v>
      </c>
      <c r="N134" t="str">
        <f>VLOOKUP(B134,representatives_list!A:B,2,FALSE)</f>
        <v>Ribokinase-like</v>
      </c>
      <c r="O134" t="str">
        <f>VLOOKUP(aggregated_results!B134,representatives_list!A:E,5,FALSE)</f>
        <v>BG(–)</v>
      </c>
      <c r="P134" t="str">
        <f>VLOOKUP(aggregated_results!B134,representatives_list!A:D,3,FALSE)</f>
        <v>Pi</v>
      </c>
      <c r="Q134" t="str">
        <f>VLOOKUP(aggregated_results!B134,representatives_list!A:D,4,FALSE)</f>
        <v>c.72.1</v>
      </c>
    </row>
    <row r="135" spans="1:17" x14ac:dyDescent="0.25">
      <c r="A135" t="s">
        <v>27</v>
      </c>
      <c r="B135" t="s">
        <v>30</v>
      </c>
      <c r="C135">
        <v>3.8</v>
      </c>
      <c r="D135">
        <v>3.8</v>
      </c>
      <c r="E135">
        <v>116</v>
      </c>
      <c r="F135">
        <v>304</v>
      </c>
      <c r="G135">
        <v>7</v>
      </c>
      <c r="I135" t="str">
        <f t="shared" si="2"/>
        <v/>
      </c>
      <c r="J135" t="str">
        <f>VLOOKUP(aggregated_results!A135,representatives_list!A:D,4,FALSE)</f>
        <v>c.72.3</v>
      </c>
      <c r="K135" t="str">
        <f>VLOOKUP(aggregated_results!A135,representatives_list!A:D,3,FALSE)</f>
        <v>PPi</v>
      </c>
      <c r="L135" t="str">
        <f>VLOOKUP(aggregated_results!A135,representatives_list!A:E,5,FALSE)</f>
        <v>ABG(–)</v>
      </c>
      <c r="M135" t="str">
        <f>VLOOKUP(A135,representatives_list!A:B,2,FALSE)</f>
        <v>CoaB-like</v>
      </c>
      <c r="N135" t="str">
        <f>VLOOKUP(B135,representatives_list!A:B,2,FALSE)</f>
        <v>Glycerate kinase I</v>
      </c>
      <c r="O135" t="str">
        <f>VLOOKUP(aggregated_results!B135,representatives_list!A:E,5,FALSE)</f>
        <v>N/A</v>
      </c>
      <c r="P135" t="str">
        <f>VLOOKUP(aggregated_results!B135,representatives_list!A:D,3,FALSE)</f>
        <v>Pi</v>
      </c>
      <c r="Q135" t="str">
        <f>VLOOKUP(aggregated_results!B135,representatives_list!A:D,4,FALSE)</f>
        <v>c.141.1</v>
      </c>
    </row>
    <row r="136" spans="1:17" x14ac:dyDescent="0.25">
      <c r="A136" t="s">
        <v>33</v>
      </c>
      <c r="B136" t="s">
        <v>48</v>
      </c>
      <c r="C136">
        <v>3.8</v>
      </c>
      <c r="D136">
        <v>20.9</v>
      </c>
      <c r="E136">
        <v>106</v>
      </c>
      <c r="F136">
        <v>530</v>
      </c>
      <c r="G136">
        <v>8</v>
      </c>
      <c r="I136" t="str">
        <f t="shared" si="2"/>
        <v/>
      </c>
      <c r="J136" t="str">
        <f>VLOOKUP(aggregated_results!A136,representatives_list!A:D,4,FALSE)</f>
        <v>e.23.1</v>
      </c>
      <c r="K136" t="str">
        <f>VLOOKUP(aggregated_results!A136,representatives_list!A:D,3,FALSE)</f>
        <v>PPi</v>
      </c>
      <c r="L136" t="str">
        <f>VLOOKUP(aggregated_results!A136,representatives_list!A:E,5,FALSE)</f>
        <v>BG(+)</v>
      </c>
      <c r="M136" t="str">
        <f>VLOOKUP(A136,representatives_list!A:B,2,FALSE)</f>
        <v>Acetyl-CoA synthetase-like</v>
      </c>
      <c r="N136" t="str">
        <f>VLOOKUP(B136,representatives_list!A:B,2,FALSE)</f>
        <v>Metal cation-transporting ATPase, ATP-binding domain N</v>
      </c>
      <c r="O136" t="str">
        <f>VLOOKUP(aggregated_results!B136,representatives_list!A:E,5,FALSE)</f>
        <v>BG(–)</v>
      </c>
      <c r="P136" t="str">
        <f>VLOOKUP(aggregated_results!B136,representatives_list!A:D,3,FALSE)</f>
        <v>Pi</v>
      </c>
      <c r="Q136" t="str">
        <f>VLOOKUP(aggregated_results!B136,representatives_list!A:D,4,FALSE)</f>
        <v>d.220.1</v>
      </c>
    </row>
    <row r="137" spans="1:17" x14ac:dyDescent="0.25">
      <c r="A137" t="s">
        <v>46</v>
      </c>
      <c r="B137" t="s">
        <v>29</v>
      </c>
      <c r="C137">
        <v>3.8</v>
      </c>
      <c r="D137">
        <v>7</v>
      </c>
      <c r="E137">
        <v>111</v>
      </c>
      <c r="F137">
        <v>253</v>
      </c>
      <c r="G137">
        <v>10</v>
      </c>
      <c r="I137" t="e">
        <f t="shared" si="2"/>
        <v>#N/A</v>
      </c>
      <c r="J137" t="str">
        <f>VLOOKUP(aggregated_results!A137,representatives_list!A:D,4,FALSE)</f>
        <v>N/A</v>
      </c>
      <c r="K137" t="str">
        <f>VLOOKUP(aggregated_results!A137,representatives_list!A:D,3,FALSE)</f>
        <v>PPi</v>
      </c>
      <c r="L137" t="str">
        <f>VLOOKUP(aggregated_results!A137,representatives_list!A:E,5,FALSE)</f>
        <v>ABG(+)</v>
      </c>
      <c r="M137" t="str">
        <f>VLOOKUP(A137,representatives_list!A:B,2,FALSE)</f>
        <v>Phosphopantoate/pantothenate synthetase superfamily</v>
      </c>
      <c r="N137" t="str">
        <f>VLOOKUP(B137,representatives_list!A:B,2,FALSE)</f>
        <v>PRTase-like</v>
      </c>
      <c r="O137" t="str">
        <f>VLOOKUP(aggregated_results!B137,representatives_list!A:E,5,FALSE)</f>
        <v>ABG(+)</v>
      </c>
      <c r="P137" t="str">
        <f>VLOOKUP(aggregated_results!B137,representatives_list!A:D,3,FALSE)</f>
        <v>PPi</v>
      </c>
      <c r="Q137" t="str">
        <f>VLOOKUP(aggregated_results!B137,representatives_list!A:D,4,FALSE)</f>
        <v>c.61.1</v>
      </c>
    </row>
    <row r="138" spans="1:17" x14ac:dyDescent="0.25">
      <c r="A138" t="s">
        <v>66</v>
      </c>
      <c r="B138" t="s">
        <v>75</v>
      </c>
      <c r="C138">
        <v>3.8</v>
      </c>
      <c r="D138">
        <v>3.8</v>
      </c>
      <c r="E138">
        <v>109</v>
      </c>
      <c r="F138">
        <v>146</v>
      </c>
      <c r="G138">
        <v>8</v>
      </c>
      <c r="I138" t="e">
        <f t="shared" si="2"/>
        <v>#N/A</v>
      </c>
      <c r="J138" t="str">
        <f>VLOOKUP(aggregated_results!A138,representatives_list!A:D,4,FALSE)</f>
        <v>d.58.21</v>
      </c>
      <c r="K138" t="str">
        <f>VLOOKUP(aggregated_results!A138,representatives_list!A:D,3,FALSE)</f>
        <v>PPi</v>
      </c>
      <c r="L138" t="str">
        <f>VLOOKUP(aggregated_results!A138,representatives_list!A:E,5,FALSE)</f>
        <v>N/A</v>
      </c>
      <c r="M138" t="str">
        <f>VLOOKUP(A138,representatives_list!A:B,2,FALSE)</f>
        <v>Molybdenum cofactor biosynthesis protein C, MoaC</v>
      </c>
      <c r="N138" t="str">
        <f>VLOOKUP(B138,representatives_list!A:B,2,FALSE)</f>
        <v>tRNA-splicing ligase RtcB-like superfamily</v>
      </c>
      <c r="O138" t="str">
        <f>VLOOKUP(aggregated_results!B138,representatives_list!A:E,5,FALSE)</f>
        <v>AB(+)</v>
      </c>
      <c r="P138" t="str">
        <f>VLOOKUP(aggregated_results!B138,representatives_list!A:D,3,FALSE)</f>
        <v>PPi</v>
      </c>
      <c r="Q138" t="str">
        <f>VLOOKUP(aggregated_results!B138,representatives_list!A:D,4,FALSE)</f>
        <v>N/A</v>
      </c>
    </row>
    <row r="139" spans="1:17" x14ac:dyDescent="0.25">
      <c r="A139" t="s">
        <v>66</v>
      </c>
      <c r="B139" t="s">
        <v>26</v>
      </c>
      <c r="C139">
        <v>3.8</v>
      </c>
      <c r="D139">
        <v>4.4000000000000004</v>
      </c>
      <c r="E139">
        <v>79</v>
      </c>
      <c r="F139">
        <v>146</v>
      </c>
      <c r="G139">
        <v>19</v>
      </c>
      <c r="I139" t="str">
        <f t="shared" si="2"/>
        <v>x</v>
      </c>
      <c r="J139" t="str">
        <f>VLOOKUP(aggregated_results!A139,representatives_list!A:D,4,FALSE)</f>
        <v>d.58.21</v>
      </c>
      <c r="K139" t="str">
        <f>VLOOKUP(aggregated_results!A139,representatives_list!A:D,3,FALSE)</f>
        <v>PPi</v>
      </c>
      <c r="L139" t="str">
        <f>VLOOKUP(aggregated_results!A139,representatives_list!A:E,5,FALSE)</f>
        <v>N/A</v>
      </c>
      <c r="M139" t="str">
        <f>VLOOKUP(A139,representatives_list!A:B,2,FALSE)</f>
        <v>Molybdenum cofactor biosynthesis protein C, MoaC</v>
      </c>
      <c r="N139" t="str">
        <f>VLOOKUP(B139,representatives_list!A:B,2,FALSE)</f>
        <v>GlnB-like</v>
      </c>
      <c r="O139" t="str">
        <f>VLOOKUP(aggregated_results!B139,representatives_list!A:E,5,FALSE)</f>
        <v>ABG(–)</v>
      </c>
      <c r="P139" t="str">
        <f>VLOOKUP(aggregated_results!B139,representatives_list!A:D,3,FALSE)</f>
        <v>Pi</v>
      </c>
      <c r="Q139" t="str">
        <f>VLOOKUP(aggregated_results!B139,representatives_list!A:D,4,FALSE)</f>
        <v>d.58.5</v>
      </c>
    </row>
    <row r="140" spans="1:17" x14ac:dyDescent="0.25">
      <c r="A140" t="s">
        <v>64</v>
      </c>
      <c r="B140" t="s">
        <v>41</v>
      </c>
      <c r="C140">
        <v>3.8</v>
      </c>
      <c r="D140">
        <v>3</v>
      </c>
      <c r="E140">
        <v>89</v>
      </c>
      <c r="F140">
        <v>412</v>
      </c>
      <c r="G140">
        <v>9</v>
      </c>
      <c r="I140" t="str">
        <f t="shared" si="2"/>
        <v/>
      </c>
      <c r="J140" t="str">
        <f>VLOOKUP(aggregated_results!A140,representatives_list!A:D,4,FALSE)</f>
        <v>c.146.1</v>
      </c>
      <c r="K140" t="str">
        <f>VLOOKUP(aggregated_results!A140,representatives_list!A:D,3,FALSE)</f>
        <v>Pi</v>
      </c>
      <c r="L140" t="str">
        <f>VLOOKUP(aggregated_results!A140,representatives_list!A:E,5,FALSE)</f>
        <v>N/A</v>
      </c>
      <c r="M140" t="str">
        <f>VLOOKUP(A140,representatives_list!A:B,2,FALSE)</f>
        <v>YgbK-like</v>
      </c>
      <c r="N140" t="str">
        <f>VLOOKUP(B140,representatives_list!A:B,2,FALSE)</f>
        <v>Molybdenum cofactor biosynthesis proteins</v>
      </c>
      <c r="O140" t="str">
        <f>VLOOKUP(aggregated_results!B140,representatives_list!A:E,5,FALSE)</f>
        <v>ABG(–)</v>
      </c>
      <c r="P140" t="str">
        <f>VLOOKUP(aggregated_results!B140,representatives_list!A:D,3,FALSE)</f>
        <v>Pi</v>
      </c>
      <c r="Q140" t="str">
        <f>VLOOKUP(aggregated_results!B140,representatives_list!A:D,4,FALSE)</f>
        <v>c.57.1</v>
      </c>
    </row>
    <row r="141" spans="1:17" x14ac:dyDescent="0.25">
      <c r="A141" t="s">
        <v>64</v>
      </c>
      <c r="B141" t="s">
        <v>35</v>
      </c>
      <c r="C141">
        <v>3.8</v>
      </c>
      <c r="D141">
        <v>4.5</v>
      </c>
      <c r="E141">
        <v>133</v>
      </c>
      <c r="F141">
        <v>412</v>
      </c>
      <c r="G141">
        <v>9</v>
      </c>
      <c r="I141" t="str">
        <f t="shared" si="2"/>
        <v/>
      </c>
      <c r="J141" t="str">
        <f>VLOOKUP(aggregated_results!A141,representatives_list!A:D,4,FALSE)</f>
        <v>c.146.1</v>
      </c>
      <c r="K141" t="str">
        <f>VLOOKUP(aggregated_results!A141,representatives_list!A:D,3,FALSE)</f>
        <v>Pi</v>
      </c>
      <c r="L141" t="str">
        <f>VLOOKUP(aggregated_results!A141,representatives_list!A:E,5,FALSE)</f>
        <v>N/A</v>
      </c>
      <c r="M141" t="str">
        <f>VLOOKUP(A141,representatives_list!A:B,2,FALSE)</f>
        <v>YgbK-like</v>
      </c>
      <c r="N141" t="str">
        <f>VLOOKUP(B141,representatives_list!A:B,2,FALSE)</f>
        <v>Phosphoglycerate kinase</v>
      </c>
      <c r="O141" t="str">
        <f>VLOOKUP(aggregated_results!B141,representatives_list!A:E,5,FALSE)</f>
        <v>ABG(–)</v>
      </c>
      <c r="P141" t="str">
        <f>VLOOKUP(aggregated_results!B141,representatives_list!A:D,3,FALSE)</f>
        <v>Pi</v>
      </c>
      <c r="Q141" t="str">
        <f>VLOOKUP(aggregated_results!B141,representatives_list!A:D,4,FALSE)</f>
        <v>c.86.1</v>
      </c>
    </row>
    <row r="142" spans="1:17" x14ac:dyDescent="0.25">
      <c r="A142" t="s">
        <v>50</v>
      </c>
      <c r="B142" t="s">
        <v>31</v>
      </c>
      <c r="C142">
        <v>3.8</v>
      </c>
      <c r="D142">
        <v>3.3</v>
      </c>
      <c r="E142">
        <v>78</v>
      </c>
      <c r="F142">
        <v>150</v>
      </c>
      <c r="G142">
        <v>8</v>
      </c>
      <c r="I142" t="str">
        <f t="shared" si="2"/>
        <v>x</v>
      </c>
      <c r="J142" t="str">
        <f>VLOOKUP(aggregated_results!A142,representatives_list!A:D,4,FALSE)</f>
        <v>d.58.6</v>
      </c>
      <c r="K142" t="str">
        <f>VLOOKUP(aggregated_results!A142,representatives_list!A:D,3,FALSE)</f>
        <v>Pi</v>
      </c>
      <c r="L142" t="str">
        <f>VLOOKUP(aggregated_results!A142,representatives_list!A:E,5,FALSE)</f>
        <v>ABG(+)</v>
      </c>
      <c r="M142" t="str">
        <f>VLOOKUP(A142,representatives_list!A:B,2,FALSE)</f>
        <v>Nucleoside diphosphate kinase, NDK</v>
      </c>
      <c r="N142" t="str">
        <f>VLOOKUP(B142,representatives_list!A:B,2,FALSE)</f>
        <v>GHMP Kinase, C-terminal domain</v>
      </c>
      <c r="O142" t="str">
        <f>VLOOKUP(aggregated_results!B142,representatives_list!A:E,5,FALSE)</f>
        <v>ABG(+)</v>
      </c>
      <c r="P142" t="str">
        <f>VLOOKUP(aggregated_results!B142,representatives_list!A:D,3,FALSE)</f>
        <v>Pi</v>
      </c>
      <c r="Q142" t="str">
        <f>VLOOKUP(aggregated_results!B142,representatives_list!A:D,4,FALSE)</f>
        <v>d.58.26</v>
      </c>
    </row>
    <row r="143" spans="1:17" x14ac:dyDescent="0.25">
      <c r="A143" t="s">
        <v>27</v>
      </c>
      <c r="B143" t="s">
        <v>48</v>
      </c>
      <c r="C143">
        <v>3.7</v>
      </c>
      <c r="D143">
        <v>3.5</v>
      </c>
      <c r="E143">
        <v>119</v>
      </c>
      <c r="F143">
        <v>304</v>
      </c>
      <c r="G143">
        <v>8</v>
      </c>
      <c r="I143" t="str">
        <f t="shared" si="2"/>
        <v/>
      </c>
      <c r="J143" t="str">
        <f>VLOOKUP(aggregated_results!A143,representatives_list!A:D,4,FALSE)</f>
        <v>c.72.3</v>
      </c>
      <c r="K143" t="str">
        <f>VLOOKUP(aggregated_results!A143,representatives_list!A:D,3,FALSE)</f>
        <v>PPi</v>
      </c>
      <c r="L143" t="str">
        <f>VLOOKUP(aggregated_results!A143,representatives_list!A:E,5,FALSE)</f>
        <v>ABG(–)</v>
      </c>
      <c r="M143" t="str">
        <f>VLOOKUP(A143,representatives_list!A:B,2,FALSE)</f>
        <v>CoaB-like</v>
      </c>
      <c r="N143" t="str">
        <f>VLOOKUP(B143,representatives_list!A:B,2,FALSE)</f>
        <v>Metal cation-transporting ATPase, ATP-binding domain N</v>
      </c>
      <c r="O143" t="str">
        <f>VLOOKUP(aggregated_results!B143,representatives_list!A:E,5,FALSE)</f>
        <v>BG(–)</v>
      </c>
      <c r="P143" t="str">
        <f>VLOOKUP(aggregated_results!B143,representatives_list!A:D,3,FALSE)</f>
        <v>Pi</v>
      </c>
      <c r="Q143" t="str">
        <f>VLOOKUP(aggregated_results!B143,representatives_list!A:D,4,FALSE)</f>
        <v>d.220.1</v>
      </c>
    </row>
    <row r="144" spans="1:17" x14ac:dyDescent="0.25">
      <c r="A144" t="s">
        <v>76</v>
      </c>
      <c r="B144" t="s">
        <v>77</v>
      </c>
      <c r="C144">
        <v>3.7</v>
      </c>
      <c r="D144">
        <v>5.7</v>
      </c>
      <c r="E144">
        <v>118</v>
      </c>
      <c r="F144">
        <v>278</v>
      </c>
      <c r="G144">
        <v>8</v>
      </c>
      <c r="I144" t="e">
        <f t="shared" si="2"/>
        <v>#N/A</v>
      </c>
      <c r="J144" t="str">
        <f>VLOOKUP(aggregated_results!A144,representatives_list!A:D,4,FALSE)</f>
        <v>N/A</v>
      </c>
      <c r="K144" t="str">
        <f>VLOOKUP(aggregated_results!A144,representatives_list!A:D,3,FALSE)</f>
        <v>PPi</v>
      </c>
      <c r="L144" t="str">
        <f>VLOOKUP(aggregated_results!A144,representatives_list!A:E,5,FALSE)</f>
        <v>N/A</v>
      </c>
      <c r="M144" t="str">
        <f>VLOOKUP(A144,representatives_list!A:B,2,FALSE)</f>
        <v>Phosphatidate cytidylyltransferase</v>
      </c>
      <c r="N144" t="str">
        <f>VLOOKUP(B144,representatives_list!A:B,2,FALSE)</f>
        <v>Nucleotidyltransferase</v>
      </c>
      <c r="O144" t="str">
        <f>VLOOKUP(aggregated_results!B144,representatives_list!A:E,5,FALSE)</f>
        <v>ABG(–)</v>
      </c>
      <c r="P144" t="str">
        <f>VLOOKUP(aggregated_results!B144,representatives_list!A:D,3,FALSE)</f>
        <v>PPi</v>
      </c>
      <c r="Q144" t="str">
        <f>VLOOKUP(aggregated_results!B144,representatives_list!A:D,4,FALSE)</f>
        <v>d.218.1</v>
      </c>
    </row>
    <row r="145" spans="1:17" x14ac:dyDescent="0.25">
      <c r="A145" t="s">
        <v>28</v>
      </c>
      <c r="B145" t="s">
        <v>48</v>
      </c>
      <c r="C145">
        <v>3.7</v>
      </c>
      <c r="D145">
        <v>8.5</v>
      </c>
      <c r="E145">
        <v>138</v>
      </c>
      <c r="F145">
        <v>301</v>
      </c>
      <c r="G145">
        <v>7</v>
      </c>
      <c r="I145" t="str">
        <f t="shared" si="2"/>
        <v/>
      </c>
      <c r="J145" t="str">
        <f>VLOOKUP(aggregated_results!A145,representatives_list!A:D,4,FALSE)</f>
        <v>c.111.1</v>
      </c>
      <c r="K145" t="str">
        <f>VLOOKUP(aggregated_results!A145,representatives_list!A:D,3,FALSE)</f>
        <v>PPi</v>
      </c>
      <c r="L145" t="str">
        <f>VLOOKUP(aggregated_results!A145,representatives_list!A:E,5,FALSE)</f>
        <v>ABG(+)</v>
      </c>
      <c r="M145" t="str">
        <f>VLOOKUP(A145,representatives_list!A:B,2,FALSE)</f>
        <v>Activating enzymes of the ubiquitin-like proteins</v>
      </c>
      <c r="N145" t="str">
        <f>VLOOKUP(B145,representatives_list!A:B,2,FALSE)</f>
        <v>Metal cation-transporting ATPase, ATP-binding domain N</v>
      </c>
      <c r="O145" t="str">
        <f>VLOOKUP(aggregated_results!B145,representatives_list!A:E,5,FALSE)</f>
        <v>BG(–)</v>
      </c>
      <c r="P145" t="str">
        <f>VLOOKUP(aggregated_results!B145,representatives_list!A:D,3,FALSE)</f>
        <v>Pi</v>
      </c>
      <c r="Q145" t="str">
        <f>VLOOKUP(aggregated_results!B145,representatives_list!A:D,4,FALSE)</f>
        <v>d.220.1</v>
      </c>
    </row>
    <row r="146" spans="1:17" x14ac:dyDescent="0.25">
      <c r="A146" t="s">
        <v>65</v>
      </c>
      <c r="B146" t="s">
        <v>58</v>
      </c>
      <c r="C146">
        <v>3.7</v>
      </c>
      <c r="D146">
        <v>6.5</v>
      </c>
      <c r="E146">
        <v>77</v>
      </c>
      <c r="F146">
        <v>178</v>
      </c>
      <c r="G146">
        <v>5</v>
      </c>
      <c r="I146" t="str">
        <f t="shared" si="2"/>
        <v/>
      </c>
      <c r="J146" t="str">
        <f>VLOOKUP(aggregated_results!A146,representatives_list!A:D,4,FALSE)</f>
        <v>a.25.2</v>
      </c>
      <c r="K146" t="str">
        <f>VLOOKUP(aggregated_results!A146,representatives_list!A:D,3,FALSE)</f>
        <v>PPPi</v>
      </c>
      <c r="L146" t="str">
        <f>VLOOKUP(aggregated_results!A146,representatives_list!A:E,5,FALSE)</f>
        <v>ABG(+)</v>
      </c>
      <c r="M146" t="str">
        <f>VLOOKUP(A146,representatives_list!A:B,2,FALSE)</f>
        <v>Cobalamin adenosyltransferase-like</v>
      </c>
      <c r="N146" t="str">
        <f>VLOOKUP(B146,representatives_list!A:B,2,FALSE)</f>
        <v>Diacylglycerol kinase (DgkA)-like</v>
      </c>
      <c r="O146" t="str">
        <f>VLOOKUP(aggregated_results!B146,representatives_list!A:E,5,FALSE)</f>
        <v>BG(–)</v>
      </c>
      <c r="P146" t="str">
        <f>VLOOKUP(aggregated_results!B146,representatives_list!A:D,3,FALSE)</f>
        <v>Pi</v>
      </c>
      <c r="Q146" t="str">
        <f>VLOOKUP(aggregated_results!B146,representatives_list!A:D,4,FALSE)</f>
        <v>f.62.1</v>
      </c>
    </row>
    <row r="147" spans="1:17" x14ac:dyDescent="0.25">
      <c r="A147" t="s">
        <v>65</v>
      </c>
      <c r="B147" t="s">
        <v>39</v>
      </c>
      <c r="C147">
        <v>3.7</v>
      </c>
      <c r="D147">
        <v>4</v>
      </c>
      <c r="E147">
        <v>72</v>
      </c>
      <c r="F147">
        <v>178</v>
      </c>
      <c r="G147">
        <v>1</v>
      </c>
      <c r="I147" t="str">
        <f t="shared" si="2"/>
        <v/>
      </c>
      <c r="J147" t="str">
        <f>VLOOKUP(aggregated_results!A147,representatives_list!A:D,4,FALSE)</f>
        <v>a.25.2</v>
      </c>
      <c r="K147" t="str">
        <f>VLOOKUP(aggregated_results!A147,representatives_list!A:D,3,FALSE)</f>
        <v>PPPi</v>
      </c>
      <c r="L147" t="str">
        <f>VLOOKUP(aggregated_results!A147,representatives_list!A:E,5,FALSE)</f>
        <v>ABG(+)</v>
      </c>
      <c r="M147" t="str">
        <f>VLOOKUP(A147,representatives_list!A:B,2,FALSE)</f>
        <v>Cobalamin adenosyltransferase-like</v>
      </c>
      <c r="N147" t="str">
        <f>VLOOKUP(B147,representatives_list!A:B,2,FALSE)</f>
        <v>Adenylylcyclase toxin (the edema factor)</v>
      </c>
      <c r="O147" t="str">
        <f>VLOOKUP(aggregated_results!B147,representatives_list!A:E,5,FALSE)</f>
        <v>AB(–)</v>
      </c>
      <c r="P147" t="str">
        <f>VLOOKUP(aggregated_results!B147,representatives_list!A:D,3,FALSE)</f>
        <v>PPi</v>
      </c>
      <c r="Q147" t="str">
        <f>VLOOKUP(aggregated_results!B147,representatives_list!A:D,4,FALSE)</f>
        <v>e.41.1</v>
      </c>
    </row>
    <row r="148" spans="1:17" x14ac:dyDescent="0.25">
      <c r="A148" t="s">
        <v>38</v>
      </c>
      <c r="B148" t="s">
        <v>48</v>
      </c>
      <c r="C148">
        <v>3.7</v>
      </c>
      <c r="D148">
        <v>12.8</v>
      </c>
      <c r="E148">
        <v>109</v>
      </c>
      <c r="F148">
        <v>349</v>
      </c>
      <c r="G148">
        <v>6</v>
      </c>
      <c r="I148" t="str">
        <f t="shared" si="2"/>
        <v/>
      </c>
      <c r="J148" t="str">
        <f>VLOOKUP(aggregated_results!A148,representatives_list!A:D,4,FALSE)</f>
        <v>d.320.1</v>
      </c>
      <c r="K148" t="str">
        <f>VLOOKUP(aggregated_results!A148,representatives_list!A:D,3,FALSE)</f>
        <v>PPi</v>
      </c>
      <c r="L148" t="str">
        <f>VLOOKUP(aggregated_results!A148,representatives_list!A:E,5,FALSE)</f>
        <v>ABG(–)</v>
      </c>
      <c r="M148" t="str">
        <f>VLOOKUP(A148,representatives_list!A:B,2,FALSE)</f>
        <v>YojJ-like</v>
      </c>
      <c r="N148" t="str">
        <f>VLOOKUP(B148,representatives_list!A:B,2,FALSE)</f>
        <v>Metal cation-transporting ATPase, ATP-binding domain N</v>
      </c>
      <c r="O148" t="str">
        <f>VLOOKUP(aggregated_results!B148,representatives_list!A:E,5,FALSE)</f>
        <v>BG(–)</v>
      </c>
      <c r="P148" t="str">
        <f>VLOOKUP(aggregated_results!B148,representatives_list!A:D,3,FALSE)</f>
        <v>Pi</v>
      </c>
      <c r="Q148" t="str">
        <f>VLOOKUP(aggregated_results!B148,representatives_list!A:D,4,FALSE)</f>
        <v>d.220.1</v>
      </c>
    </row>
    <row r="149" spans="1:17" x14ac:dyDescent="0.25">
      <c r="A149" t="s">
        <v>17</v>
      </c>
      <c r="B149" t="s">
        <v>47</v>
      </c>
      <c r="C149">
        <v>3.7</v>
      </c>
      <c r="D149">
        <v>2.6</v>
      </c>
      <c r="E149">
        <v>84</v>
      </c>
      <c r="F149">
        <v>427</v>
      </c>
      <c r="G149">
        <v>7</v>
      </c>
      <c r="I149" t="str">
        <f t="shared" si="2"/>
        <v/>
      </c>
      <c r="J149" t="str">
        <f>VLOOKUP(aggregated_results!A149,representatives_list!A:D,4,FALSE)</f>
        <v>e.8.1</v>
      </c>
      <c r="K149" t="str">
        <f>VLOOKUP(aggregated_results!A149,representatives_list!A:D,3,FALSE)</f>
        <v>PPi</v>
      </c>
      <c r="L149" t="str">
        <f>VLOOKUP(aggregated_results!A149,representatives_list!A:E,5,FALSE)</f>
        <v>ABG(–)</v>
      </c>
      <c r="M149" t="str">
        <f>VLOOKUP(A149,representatives_list!A:B,2,FALSE)</f>
        <v>DNA/RNA polymerases</v>
      </c>
      <c r="N149" t="str">
        <f>VLOOKUP(B149,representatives_list!A:B,2,FALSE)</f>
        <v>6-hydroxymethyl-7,8-dihydropterin pyrophosphokinase, HPPK</v>
      </c>
      <c r="O149" t="str">
        <f>VLOOKUP(aggregated_results!B149,representatives_list!A:E,5,FALSE)</f>
        <v>AB(+)</v>
      </c>
      <c r="P149" t="str">
        <f>VLOOKUP(aggregated_results!B149,representatives_list!A:D,3,FALSE)</f>
        <v>PPi</v>
      </c>
      <c r="Q149" t="str">
        <f>VLOOKUP(aggregated_results!B149,representatives_list!A:D,4,FALSE)</f>
        <v>d.58.30</v>
      </c>
    </row>
    <row r="150" spans="1:17" x14ac:dyDescent="0.25">
      <c r="A150" t="s">
        <v>48</v>
      </c>
      <c r="B150" t="s">
        <v>25</v>
      </c>
      <c r="C150">
        <v>3.7</v>
      </c>
      <c r="D150">
        <v>10.199999999999999</v>
      </c>
      <c r="E150">
        <v>131</v>
      </c>
      <c r="F150">
        <v>994</v>
      </c>
      <c r="G150">
        <v>15</v>
      </c>
      <c r="I150" t="str">
        <f t="shared" si="2"/>
        <v/>
      </c>
      <c r="J150" t="str">
        <f>VLOOKUP(aggregated_results!A150,representatives_list!A:D,4,FALSE)</f>
        <v>d.220.1</v>
      </c>
      <c r="K150" t="str">
        <f>VLOOKUP(aggregated_results!A150,representatives_list!A:D,3,FALSE)</f>
        <v>Pi</v>
      </c>
      <c r="L150" t="str">
        <f>VLOOKUP(aggregated_results!A150,representatives_list!A:E,5,FALSE)</f>
        <v>BG(–)</v>
      </c>
      <c r="M150" t="str">
        <f>VLOOKUP(A150,representatives_list!A:B,2,FALSE)</f>
        <v>Metal cation-transporting ATPase, ATP-binding domain N</v>
      </c>
      <c r="N150" t="str">
        <f>VLOOKUP(B150,representatives_list!A:B,2,FALSE)</f>
        <v>Carbamate kinase-like</v>
      </c>
      <c r="O150" t="str">
        <f>VLOOKUP(aggregated_results!B150,representatives_list!A:E,5,FALSE)</f>
        <v>ABG(+)</v>
      </c>
      <c r="P150" t="str">
        <f>VLOOKUP(aggregated_results!B150,representatives_list!A:D,3,FALSE)</f>
        <v>Pi</v>
      </c>
      <c r="Q150" t="str">
        <f>VLOOKUP(aggregated_results!B150,representatives_list!A:D,4,FALSE)</f>
        <v>c.73.1</v>
      </c>
    </row>
    <row r="151" spans="1:17" x14ac:dyDescent="0.25">
      <c r="A151" t="s">
        <v>19</v>
      </c>
      <c r="B151" t="s">
        <v>31</v>
      </c>
      <c r="C151">
        <v>3.7</v>
      </c>
      <c r="D151">
        <v>5.2</v>
      </c>
      <c r="E151">
        <v>71</v>
      </c>
      <c r="F151">
        <v>417</v>
      </c>
      <c r="G151">
        <v>7</v>
      </c>
      <c r="I151" t="e">
        <f t="shared" si="2"/>
        <v>#N/A</v>
      </c>
      <c r="J151" t="str">
        <f>VLOOKUP(aggregated_results!A151,representatives_list!A:D,4,FALSE)</f>
        <v>N/A</v>
      </c>
      <c r="K151" t="str">
        <f>VLOOKUP(aggregated_results!A151,representatives_list!A:D,3,FALSE)</f>
        <v>PPi</v>
      </c>
      <c r="L151" t="str">
        <f>VLOOKUP(aggregated_results!A151,representatives_list!A:E,5,FALSE)</f>
        <v>N/A</v>
      </c>
      <c r="M151" t="str">
        <f>VLOOKUP(A151,representatives_list!A:B,2,FALSE)</f>
        <v>tRNA(Ile2) 2-agmatinylcytidine synthetase TiaS</v>
      </c>
      <c r="N151" t="str">
        <f>VLOOKUP(B151,representatives_list!A:B,2,FALSE)</f>
        <v>GHMP Kinase, C-terminal domain</v>
      </c>
      <c r="O151" t="str">
        <f>VLOOKUP(aggregated_results!B151,representatives_list!A:E,5,FALSE)</f>
        <v>ABG(+)</v>
      </c>
      <c r="P151" t="str">
        <f>VLOOKUP(aggregated_results!B151,representatives_list!A:D,3,FALSE)</f>
        <v>Pi</v>
      </c>
      <c r="Q151" t="str">
        <f>VLOOKUP(aggregated_results!B151,representatives_list!A:D,4,FALSE)</f>
        <v>d.58.26</v>
      </c>
    </row>
    <row r="152" spans="1:17" x14ac:dyDescent="0.25">
      <c r="A152" t="s">
        <v>51</v>
      </c>
      <c r="B152" t="s">
        <v>41</v>
      </c>
      <c r="C152">
        <v>3.7</v>
      </c>
      <c r="D152">
        <v>14</v>
      </c>
      <c r="E152">
        <v>116</v>
      </c>
      <c r="F152">
        <v>537</v>
      </c>
      <c r="G152">
        <v>12</v>
      </c>
      <c r="I152" t="str">
        <f t="shared" si="2"/>
        <v/>
      </c>
      <c r="J152" t="str">
        <f>VLOOKUP(aggregated_results!A152,representatives_list!A:D,4,FALSE)</f>
        <v>a.208.1</v>
      </c>
      <c r="K152" t="str">
        <f>VLOOKUP(aggregated_results!A152,representatives_list!A:D,3,FALSE)</f>
        <v>Pi</v>
      </c>
      <c r="L152" t="str">
        <f>VLOOKUP(aggregated_results!A152,representatives_list!A:E,5,FALSE)</f>
        <v>BG(–)</v>
      </c>
      <c r="M152" t="str">
        <f>VLOOKUP(A152,representatives_list!A:B,2,FALSE)</f>
        <v>DhaL-like</v>
      </c>
      <c r="N152" t="str">
        <f>VLOOKUP(B152,representatives_list!A:B,2,FALSE)</f>
        <v>Molybdenum cofactor biosynthesis proteins</v>
      </c>
      <c r="O152" t="str">
        <f>VLOOKUP(aggregated_results!B152,representatives_list!A:E,5,FALSE)</f>
        <v>ABG(–)</v>
      </c>
      <c r="P152" t="str">
        <f>VLOOKUP(aggregated_results!B152,representatives_list!A:D,3,FALSE)</f>
        <v>Pi</v>
      </c>
      <c r="Q152" t="str">
        <f>VLOOKUP(aggregated_results!B152,representatives_list!A:D,4,FALSE)</f>
        <v>c.57.1</v>
      </c>
    </row>
    <row r="153" spans="1:17" x14ac:dyDescent="0.25">
      <c r="A153" t="s">
        <v>68</v>
      </c>
      <c r="B153" t="s">
        <v>20</v>
      </c>
      <c r="C153">
        <v>3.6</v>
      </c>
      <c r="D153">
        <v>14.1</v>
      </c>
      <c r="E153">
        <v>63</v>
      </c>
      <c r="F153">
        <v>110</v>
      </c>
      <c r="G153">
        <v>8</v>
      </c>
      <c r="I153" t="e">
        <f t="shared" si="2"/>
        <v>#N/A</v>
      </c>
      <c r="J153" t="str">
        <f>VLOOKUP(aggregated_results!A153,representatives_list!A:D,4,FALSE)</f>
        <v>a.204.1</v>
      </c>
      <c r="K153" t="str">
        <f>VLOOKUP(aggregated_results!A153,representatives_list!A:D,3,FALSE)</f>
        <v>PPi</v>
      </c>
      <c r="L153" t="str">
        <f>VLOOKUP(aggregated_results!A153,representatives_list!A:E,5,FALSE)</f>
        <v>ABG(+)</v>
      </c>
      <c r="M153" t="str">
        <f>VLOOKUP(A153,representatives_list!A:B,2,FALSE)</f>
        <v>all-alpha NTP pyrophosphatases</v>
      </c>
      <c r="N153" t="str">
        <f>VLOOKUP(B153,representatives_list!A:B,2,FALSE)</f>
        <v>Bacterial DNA polymerase III, alpha subunit, NTPase domain</v>
      </c>
      <c r="O153" t="str">
        <f>VLOOKUP(aggregated_results!B153,representatives_list!A:E,5,FALSE)</f>
        <v>ABG(–)</v>
      </c>
      <c r="P153" t="str">
        <f>VLOOKUP(aggregated_results!B153,representatives_list!A:D,3,FALSE)</f>
        <v>PPi</v>
      </c>
      <c r="Q153" t="str">
        <f>VLOOKUP(aggregated_results!B153,representatives_list!A:D,4,FALSE)</f>
        <v>N/A</v>
      </c>
    </row>
    <row r="154" spans="1:17" x14ac:dyDescent="0.25">
      <c r="A154" t="s">
        <v>28</v>
      </c>
      <c r="B154" t="s">
        <v>29</v>
      </c>
      <c r="C154">
        <v>3.6</v>
      </c>
      <c r="D154">
        <v>3.8</v>
      </c>
      <c r="E154">
        <v>105</v>
      </c>
      <c r="F154">
        <v>301</v>
      </c>
      <c r="G154">
        <v>12</v>
      </c>
      <c r="I154" t="str">
        <f t="shared" si="2"/>
        <v/>
      </c>
      <c r="J154" t="str">
        <f>VLOOKUP(aggregated_results!A154,representatives_list!A:D,4,FALSE)</f>
        <v>c.111.1</v>
      </c>
      <c r="K154" t="str">
        <f>VLOOKUP(aggregated_results!A154,representatives_list!A:D,3,FALSE)</f>
        <v>PPi</v>
      </c>
      <c r="L154" t="str">
        <f>VLOOKUP(aggregated_results!A154,representatives_list!A:E,5,FALSE)</f>
        <v>ABG(+)</v>
      </c>
      <c r="M154" t="str">
        <f>VLOOKUP(A154,representatives_list!A:B,2,FALSE)</f>
        <v>Activating enzymes of the ubiquitin-like proteins</v>
      </c>
      <c r="N154" t="str">
        <f>VLOOKUP(B154,representatives_list!A:B,2,FALSE)</f>
        <v>PRTase-like</v>
      </c>
      <c r="O154" t="str">
        <f>VLOOKUP(aggregated_results!B154,representatives_list!A:E,5,FALSE)</f>
        <v>ABG(+)</v>
      </c>
      <c r="P154" t="str">
        <f>VLOOKUP(aggregated_results!B154,representatives_list!A:D,3,FALSE)</f>
        <v>PPi</v>
      </c>
      <c r="Q154" t="str">
        <f>VLOOKUP(aggregated_results!B154,representatives_list!A:D,4,FALSE)</f>
        <v>c.61.1</v>
      </c>
    </row>
    <row r="155" spans="1:17" x14ac:dyDescent="0.25">
      <c r="A155" t="s">
        <v>54</v>
      </c>
      <c r="B155" t="s">
        <v>24</v>
      </c>
      <c r="C155">
        <v>3.6</v>
      </c>
      <c r="D155">
        <v>3.8</v>
      </c>
      <c r="E155">
        <v>121</v>
      </c>
      <c r="F155">
        <v>317</v>
      </c>
      <c r="G155">
        <v>8</v>
      </c>
      <c r="I155" t="str">
        <f t="shared" si="2"/>
        <v/>
      </c>
      <c r="J155" t="str">
        <f>VLOOKUP(aggregated_results!A155,representatives_list!A:D,4,FALSE)</f>
        <v>d.142.1</v>
      </c>
      <c r="K155" t="str">
        <f>VLOOKUP(aggregated_results!A155,representatives_list!A:D,3,FALSE)</f>
        <v>Pi</v>
      </c>
      <c r="L155" t="str">
        <f>VLOOKUP(aggregated_results!A155,representatives_list!A:E,5,FALSE)</f>
        <v>BG(–)</v>
      </c>
      <c r="M155" t="str">
        <f>VLOOKUP(A155,representatives_list!A:B,2,FALSE)</f>
        <v>Glutathione synthetase ATP-binding domain-like</v>
      </c>
      <c r="N155" t="str">
        <f>VLOOKUP(B155,representatives_list!A:B,2,FALSE)</f>
        <v>Ribokinase-like</v>
      </c>
      <c r="O155" t="str">
        <f>VLOOKUP(aggregated_results!B155,representatives_list!A:E,5,FALSE)</f>
        <v>BG(–)</v>
      </c>
      <c r="P155" t="str">
        <f>VLOOKUP(aggregated_results!B155,representatives_list!A:D,3,FALSE)</f>
        <v>Pi</v>
      </c>
      <c r="Q155" t="str">
        <f>VLOOKUP(aggregated_results!B155,representatives_list!A:D,4,FALSE)</f>
        <v>c.72.1</v>
      </c>
    </row>
    <row r="156" spans="1:17" x14ac:dyDescent="0.25">
      <c r="A156" t="s">
        <v>33</v>
      </c>
      <c r="B156" t="s">
        <v>41</v>
      </c>
      <c r="C156">
        <v>3.6</v>
      </c>
      <c r="D156">
        <v>5</v>
      </c>
      <c r="E156">
        <v>113</v>
      </c>
      <c r="F156">
        <v>530</v>
      </c>
      <c r="G156">
        <v>8</v>
      </c>
      <c r="I156" t="str">
        <f t="shared" si="2"/>
        <v/>
      </c>
      <c r="J156" t="str">
        <f>VLOOKUP(aggregated_results!A156,representatives_list!A:D,4,FALSE)</f>
        <v>e.23.1</v>
      </c>
      <c r="K156" t="str">
        <f>VLOOKUP(aggregated_results!A156,representatives_list!A:D,3,FALSE)</f>
        <v>PPi</v>
      </c>
      <c r="L156" t="str">
        <f>VLOOKUP(aggregated_results!A156,representatives_list!A:E,5,FALSE)</f>
        <v>BG(+)</v>
      </c>
      <c r="M156" t="str">
        <f>VLOOKUP(A156,representatives_list!A:B,2,FALSE)</f>
        <v>Acetyl-CoA synthetase-like</v>
      </c>
      <c r="N156" t="str">
        <f>VLOOKUP(B156,representatives_list!A:B,2,FALSE)</f>
        <v>Molybdenum cofactor biosynthesis proteins</v>
      </c>
      <c r="O156" t="str">
        <f>VLOOKUP(aggregated_results!B156,representatives_list!A:E,5,FALSE)</f>
        <v>ABG(–)</v>
      </c>
      <c r="P156" t="str">
        <f>VLOOKUP(aggregated_results!B156,representatives_list!A:D,3,FALSE)</f>
        <v>Pi</v>
      </c>
      <c r="Q156" t="str">
        <f>VLOOKUP(aggregated_results!B156,representatives_list!A:D,4,FALSE)</f>
        <v>c.57.1</v>
      </c>
    </row>
    <row r="157" spans="1:17" x14ac:dyDescent="0.25">
      <c r="A157" t="s">
        <v>48</v>
      </c>
      <c r="B157" t="s">
        <v>34</v>
      </c>
      <c r="C157">
        <v>3.6</v>
      </c>
      <c r="D157">
        <v>6.3</v>
      </c>
      <c r="E157">
        <v>142</v>
      </c>
      <c r="F157">
        <v>994</v>
      </c>
      <c r="G157">
        <v>6</v>
      </c>
      <c r="I157" t="str">
        <f t="shared" si="2"/>
        <v/>
      </c>
      <c r="J157" t="str">
        <f>VLOOKUP(aggregated_results!A157,representatives_list!A:D,4,FALSE)</f>
        <v>d.220.1</v>
      </c>
      <c r="K157" t="str">
        <f>VLOOKUP(aggregated_results!A157,representatives_list!A:D,3,FALSE)</f>
        <v>Pi</v>
      </c>
      <c r="L157" t="str">
        <f>VLOOKUP(aggregated_results!A157,representatives_list!A:E,5,FALSE)</f>
        <v>BG(–)</v>
      </c>
      <c r="M157" t="str">
        <f>VLOOKUP(A157,representatives_list!A:B,2,FALSE)</f>
        <v>Metal cation-transporting ATPase, ATP-binding domain N</v>
      </c>
      <c r="N157" t="str">
        <f>VLOOKUP(B157,representatives_list!A:B,2,FALSE)</f>
        <v>Tubulin nucleotide-binding domain-like</v>
      </c>
      <c r="O157" t="str">
        <f>VLOOKUP(aggregated_results!B157,representatives_list!A:E,5,FALSE)</f>
        <v>BG(–)</v>
      </c>
      <c r="P157" t="str">
        <f>VLOOKUP(aggregated_results!B157,representatives_list!A:D,3,FALSE)</f>
        <v>Pi</v>
      </c>
      <c r="Q157" t="str">
        <f>VLOOKUP(aggregated_results!B157,representatives_list!A:D,4,FALSE)</f>
        <v>c.32.1</v>
      </c>
    </row>
    <row r="158" spans="1:17" x14ac:dyDescent="0.25">
      <c r="A158" t="s">
        <v>46</v>
      </c>
      <c r="B158" t="s">
        <v>23</v>
      </c>
      <c r="C158">
        <v>3.6</v>
      </c>
      <c r="D158">
        <v>5.3</v>
      </c>
      <c r="E158">
        <v>107</v>
      </c>
      <c r="F158">
        <v>253</v>
      </c>
      <c r="G158">
        <v>14</v>
      </c>
      <c r="I158" t="e">
        <f t="shared" si="2"/>
        <v>#N/A</v>
      </c>
      <c r="J158" t="str">
        <f>VLOOKUP(aggregated_results!A158,representatives_list!A:D,4,FALSE)</f>
        <v>N/A</v>
      </c>
      <c r="K158" t="str">
        <f>VLOOKUP(aggregated_results!A158,representatives_list!A:D,3,FALSE)</f>
        <v>PPi</v>
      </c>
      <c r="L158" t="str">
        <f>VLOOKUP(aggregated_results!A158,representatives_list!A:E,5,FALSE)</f>
        <v>ABG(+)</v>
      </c>
      <c r="M158" t="str">
        <f>VLOOKUP(A158,representatives_list!A:B,2,FALSE)</f>
        <v>Phosphopantoate/pantothenate synthetase superfamily</v>
      </c>
      <c r="N158" t="str">
        <f>VLOOKUP(B158,representatives_list!A:B,2,FALSE)</f>
        <v>MurD-like peptide ligases, catalytic domain</v>
      </c>
      <c r="O158" t="str">
        <f>VLOOKUP(aggregated_results!B158,representatives_list!A:E,5,FALSE)</f>
        <v>BG(–)</v>
      </c>
      <c r="P158" t="str">
        <f>VLOOKUP(aggregated_results!B158,representatives_list!A:D,3,FALSE)</f>
        <v>Pi</v>
      </c>
      <c r="Q158" t="str">
        <f>VLOOKUP(aggregated_results!B158,representatives_list!A:D,4,FALSE)</f>
        <v>c.72.2</v>
      </c>
    </row>
    <row r="159" spans="1:17" x14ac:dyDescent="0.25">
      <c r="A159" t="s">
        <v>67</v>
      </c>
      <c r="B159" t="s">
        <v>34</v>
      </c>
      <c r="C159">
        <v>3.6</v>
      </c>
      <c r="D159">
        <v>4.3</v>
      </c>
      <c r="E159">
        <v>131</v>
      </c>
      <c r="F159">
        <v>255</v>
      </c>
      <c r="G159">
        <v>7</v>
      </c>
      <c r="I159" t="str">
        <f t="shared" si="2"/>
        <v/>
      </c>
      <c r="J159" t="str">
        <f>VLOOKUP(aggregated_results!A159,representatives_list!A:D,4,FALSE)</f>
        <v>c.100.1</v>
      </c>
      <c r="K159" t="str">
        <f>VLOOKUP(aggregated_results!A159,representatives_list!A:D,3,FALSE)</f>
        <v>PPi</v>
      </c>
      <c r="L159" t="str">
        <f>VLOOKUP(aggregated_results!A159,representatives_list!A:E,5,FALSE)</f>
        <v>AG</v>
      </c>
      <c r="M159" t="str">
        <f>VLOOKUP(A159,representatives_list!A:B,2,FALSE)</f>
        <v>Thiamin pyrophosphokinase, catalytic domain</v>
      </c>
      <c r="N159" t="str">
        <f>VLOOKUP(B159,representatives_list!A:B,2,FALSE)</f>
        <v>Tubulin nucleotide-binding domain-like</v>
      </c>
      <c r="O159" t="str">
        <f>VLOOKUP(aggregated_results!B159,representatives_list!A:E,5,FALSE)</f>
        <v>BG(–)</v>
      </c>
      <c r="P159" t="str">
        <f>VLOOKUP(aggregated_results!B159,representatives_list!A:D,3,FALSE)</f>
        <v>Pi</v>
      </c>
      <c r="Q159" t="str">
        <f>VLOOKUP(aggregated_results!B159,representatives_list!A:D,4,FALSE)</f>
        <v>c.32.1</v>
      </c>
    </row>
    <row r="160" spans="1:17" x14ac:dyDescent="0.25">
      <c r="A160" t="s">
        <v>78</v>
      </c>
      <c r="B160" t="s">
        <v>58</v>
      </c>
      <c r="C160">
        <v>3.6</v>
      </c>
      <c r="D160">
        <v>4.9000000000000004</v>
      </c>
      <c r="E160">
        <v>60</v>
      </c>
      <c r="F160">
        <v>1094</v>
      </c>
      <c r="G160">
        <v>7</v>
      </c>
      <c r="I160" t="str">
        <f t="shared" si="2"/>
        <v/>
      </c>
      <c r="J160" t="str">
        <f>VLOOKUP(aggregated_results!A160,representatives_list!A:D,4,FALSE)</f>
        <v>e.29.1</v>
      </c>
      <c r="K160" t="str">
        <f>VLOOKUP(aggregated_results!A160,representatives_list!A:D,3,FALSE)</f>
        <v>PPi</v>
      </c>
      <c r="L160" t="str">
        <f>VLOOKUP(aggregated_results!A160,representatives_list!A:E,5,FALSE)</f>
        <v>AB(+)</v>
      </c>
      <c r="M160" t="str">
        <f>VLOOKUP(A160,representatives_list!A:B,2,FALSE)</f>
        <v>beta and beta-prime subunits of DNA dependent RNA-polymerase</v>
      </c>
      <c r="N160" t="str">
        <f>VLOOKUP(B160,representatives_list!A:B,2,FALSE)</f>
        <v>Diacylglycerol kinase (DgkA)-like</v>
      </c>
      <c r="O160" t="str">
        <f>VLOOKUP(aggregated_results!B160,representatives_list!A:E,5,FALSE)</f>
        <v>BG(–)</v>
      </c>
      <c r="P160" t="str">
        <f>VLOOKUP(aggregated_results!B160,representatives_list!A:D,3,FALSE)</f>
        <v>Pi</v>
      </c>
      <c r="Q160" t="str">
        <f>VLOOKUP(aggregated_results!B160,representatives_list!A:D,4,FALSE)</f>
        <v>f.62.1</v>
      </c>
    </row>
    <row r="161" spans="1:17" x14ac:dyDescent="0.25">
      <c r="A161" t="s">
        <v>70</v>
      </c>
      <c r="B161" t="s">
        <v>66</v>
      </c>
      <c r="C161">
        <v>3.5</v>
      </c>
      <c r="D161">
        <v>3.5</v>
      </c>
      <c r="E161">
        <v>84</v>
      </c>
      <c r="F161">
        <v>393</v>
      </c>
      <c r="G161">
        <v>6</v>
      </c>
      <c r="I161" t="str">
        <f t="shared" si="2"/>
        <v/>
      </c>
      <c r="J161" t="str">
        <f>VLOOKUP(aggregated_results!A161,representatives_list!A:D,4,FALSE)</f>
        <v>d.130.1</v>
      </c>
      <c r="K161" t="str">
        <f>VLOOKUP(aggregated_results!A161,representatives_list!A:D,3,FALSE)</f>
        <v>PPPi</v>
      </c>
      <c r="L161" t="str">
        <f>VLOOKUP(aggregated_results!A161,representatives_list!A:E,5,FALSE)</f>
        <v>ABG(–)</v>
      </c>
      <c r="M161" t="str">
        <f>VLOOKUP(A161,representatives_list!A:B,2,FALSE)</f>
        <v>S-adenosylmethionine synthetase</v>
      </c>
      <c r="N161" t="str">
        <f>VLOOKUP(B161,representatives_list!A:B,2,FALSE)</f>
        <v>Molybdenum cofactor biosynthesis protein C, MoaC</v>
      </c>
      <c r="O161" t="str">
        <f>VLOOKUP(aggregated_results!B161,representatives_list!A:E,5,FALSE)</f>
        <v>N/A</v>
      </c>
      <c r="P161" t="str">
        <f>VLOOKUP(aggregated_results!B161,representatives_list!A:D,3,FALSE)</f>
        <v>PPi</v>
      </c>
      <c r="Q161" t="str">
        <f>VLOOKUP(aggregated_results!B161,representatives_list!A:D,4,FALSE)</f>
        <v>d.58.21</v>
      </c>
    </row>
    <row r="162" spans="1:17" x14ac:dyDescent="0.25">
      <c r="A162" t="s">
        <v>49</v>
      </c>
      <c r="B162" t="s">
        <v>26</v>
      </c>
      <c r="C162">
        <v>3.5</v>
      </c>
      <c r="D162">
        <v>4.5999999999999996</v>
      </c>
      <c r="E162">
        <v>71</v>
      </c>
      <c r="F162">
        <v>745</v>
      </c>
      <c r="G162">
        <v>8</v>
      </c>
      <c r="I162" t="e">
        <f t="shared" si="2"/>
        <v>#N/A</v>
      </c>
      <c r="J162" t="str">
        <f>VLOOKUP(aggregated_results!A162,representatives_list!A:D,4,FALSE)</f>
        <v>N/A</v>
      </c>
      <c r="K162" t="str">
        <f>VLOOKUP(aggregated_results!A162,representatives_list!A:D,3,FALSE)</f>
        <v>PPi</v>
      </c>
      <c r="L162" t="str">
        <f>VLOOKUP(aggregated_results!A162,representatives_list!A:E,5,FALSE)</f>
        <v>ABG(–)</v>
      </c>
      <c r="M162" t="str">
        <f>VLOOKUP(A162,representatives_list!A:B,2,FALSE)</f>
        <v>Influenza RNA-dependent RNA polymerase subunit PB1</v>
      </c>
      <c r="N162" t="str">
        <f>VLOOKUP(B162,representatives_list!A:B,2,FALSE)</f>
        <v>GlnB-like</v>
      </c>
      <c r="O162" t="str">
        <f>VLOOKUP(aggregated_results!B162,representatives_list!A:E,5,FALSE)</f>
        <v>ABG(–)</v>
      </c>
      <c r="P162" t="str">
        <f>VLOOKUP(aggregated_results!B162,representatives_list!A:D,3,FALSE)</f>
        <v>Pi</v>
      </c>
      <c r="Q162" t="str">
        <f>VLOOKUP(aggregated_results!B162,representatives_list!A:D,4,FALSE)</f>
        <v>d.58.5</v>
      </c>
    </row>
    <row r="163" spans="1:17" x14ac:dyDescent="0.25">
      <c r="A163" t="s">
        <v>68</v>
      </c>
      <c r="B163" t="s">
        <v>38</v>
      </c>
      <c r="C163">
        <v>3.5</v>
      </c>
      <c r="D163">
        <v>3.3</v>
      </c>
      <c r="E163">
        <v>60</v>
      </c>
      <c r="F163">
        <v>110</v>
      </c>
      <c r="G163">
        <v>5</v>
      </c>
      <c r="I163" t="str">
        <f t="shared" si="2"/>
        <v/>
      </c>
      <c r="J163" t="str">
        <f>VLOOKUP(aggregated_results!A163,representatives_list!A:D,4,FALSE)</f>
        <v>a.204.1</v>
      </c>
      <c r="K163" t="str">
        <f>VLOOKUP(aggregated_results!A163,representatives_list!A:D,3,FALSE)</f>
        <v>PPi</v>
      </c>
      <c r="L163" t="str">
        <f>VLOOKUP(aggregated_results!A163,representatives_list!A:E,5,FALSE)</f>
        <v>ABG(+)</v>
      </c>
      <c r="M163" t="str">
        <f>VLOOKUP(A163,representatives_list!A:B,2,FALSE)</f>
        <v>all-alpha NTP pyrophosphatases</v>
      </c>
      <c r="N163" t="str">
        <f>VLOOKUP(B163,representatives_list!A:B,2,FALSE)</f>
        <v>YojJ-like</v>
      </c>
      <c r="O163" t="str">
        <f>VLOOKUP(aggregated_results!B163,representatives_list!A:E,5,FALSE)</f>
        <v>ABG(–)</v>
      </c>
      <c r="P163" t="str">
        <f>VLOOKUP(aggregated_results!B163,representatives_list!A:D,3,FALSE)</f>
        <v>PPi</v>
      </c>
      <c r="Q163" t="str">
        <f>VLOOKUP(aggregated_results!B163,representatives_list!A:D,4,FALSE)</f>
        <v>d.320.1</v>
      </c>
    </row>
    <row r="164" spans="1:17" x14ac:dyDescent="0.25">
      <c r="A164" t="s">
        <v>28</v>
      </c>
      <c r="B164" t="s">
        <v>54</v>
      </c>
      <c r="C164">
        <v>3.5</v>
      </c>
      <c r="D164">
        <v>3.6</v>
      </c>
      <c r="E164">
        <v>109</v>
      </c>
      <c r="F164">
        <v>301</v>
      </c>
      <c r="G164">
        <v>13</v>
      </c>
      <c r="I164" t="str">
        <f t="shared" si="2"/>
        <v/>
      </c>
      <c r="J164" t="str">
        <f>VLOOKUP(aggregated_results!A164,representatives_list!A:D,4,FALSE)</f>
        <v>c.111.1</v>
      </c>
      <c r="K164" t="str">
        <f>VLOOKUP(aggregated_results!A164,representatives_list!A:D,3,FALSE)</f>
        <v>PPi</v>
      </c>
      <c r="L164" t="str">
        <f>VLOOKUP(aggregated_results!A164,representatives_list!A:E,5,FALSE)</f>
        <v>ABG(+)</v>
      </c>
      <c r="M164" t="str">
        <f>VLOOKUP(A164,representatives_list!A:B,2,FALSE)</f>
        <v>Activating enzymes of the ubiquitin-like proteins</v>
      </c>
      <c r="N164" t="str">
        <f>VLOOKUP(B164,representatives_list!A:B,2,FALSE)</f>
        <v>Glutathione synthetase ATP-binding domain-like</v>
      </c>
      <c r="O164" t="str">
        <f>VLOOKUP(aggregated_results!B164,representatives_list!A:E,5,FALSE)</f>
        <v>BG(–)</v>
      </c>
      <c r="P164" t="str">
        <f>VLOOKUP(aggregated_results!B164,representatives_list!A:D,3,FALSE)</f>
        <v>Pi</v>
      </c>
      <c r="Q164" t="str">
        <f>VLOOKUP(aggregated_results!B164,representatives_list!A:D,4,FALSE)</f>
        <v>d.142.1</v>
      </c>
    </row>
    <row r="165" spans="1:17" x14ac:dyDescent="0.25">
      <c r="A165" t="s">
        <v>79</v>
      </c>
      <c r="B165" t="s">
        <v>64</v>
      </c>
      <c r="C165">
        <v>3.5</v>
      </c>
      <c r="D165">
        <v>14.7</v>
      </c>
      <c r="E165">
        <v>130</v>
      </c>
      <c r="F165">
        <v>815</v>
      </c>
      <c r="G165">
        <v>12</v>
      </c>
      <c r="I165" t="str">
        <f t="shared" si="2"/>
        <v/>
      </c>
      <c r="J165" t="str">
        <f>VLOOKUP(aggregated_results!A165,representatives_list!A:D,4,FALSE)</f>
        <v>c.76.1</v>
      </c>
      <c r="K165" t="str">
        <f>VLOOKUP(aggregated_results!A165,representatives_list!A:D,3,FALSE)</f>
        <v>PPi</v>
      </c>
      <c r="L165" t="str">
        <f>VLOOKUP(aggregated_results!A165,representatives_list!A:E,5,FALSE)</f>
        <v>A(–)</v>
      </c>
      <c r="M165" t="str">
        <f>VLOOKUP(A165,representatives_list!A:B,2,FALSE)</f>
        <v>Alkaline phosphatase-like</v>
      </c>
      <c r="N165" t="str">
        <f>VLOOKUP(B165,representatives_list!A:B,2,FALSE)</f>
        <v>YgbK-like</v>
      </c>
      <c r="O165" t="str">
        <f>VLOOKUP(aggregated_results!B165,representatives_list!A:E,5,FALSE)</f>
        <v>N/A</v>
      </c>
      <c r="P165" t="str">
        <f>VLOOKUP(aggregated_results!B165,representatives_list!A:D,3,FALSE)</f>
        <v>Pi</v>
      </c>
      <c r="Q165" t="str">
        <f>VLOOKUP(aggregated_results!B165,representatives_list!A:D,4,FALSE)</f>
        <v>c.146.1</v>
      </c>
    </row>
    <row r="166" spans="1:17" x14ac:dyDescent="0.25">
      <c r="A166" t="s">
        <v>60</v>
      </c>
      <c r="B166" t="s">
        <v>17</v>
      </c>
      <c r="C166">
        <v>3.5</v>
      </c>
      <c r="D166">
        <v>4</v>
      </c>
      <c r="E166">
        <v>117</v>
      </c>
      <c r="F166">
        <v>1095</v>
      </c>
      <c r="G166">
        <v>8</v>
      </c>
      <c r="I166" t="e">
        <f t="shared" si="2"/>
        <v>#N/A</v>
      </c>
      <c r="J166" t="str">
        <f>VLOOKUP(aggregated_results!A166,representatives_list!A:D,4,FALSE)</f>
        <v>N/A</v>
      </c>
      <c r="K166" t="str">
        <f>VLOOKUP(aggregated_results!A166,representatives_list!A:D,3,FALSE)</f>
        <v>PPi</v>
      </c>
      <c r="L166" t="str">
        <f>VLOOKUP(aggregated_results!A166,representatives_list!A:E,5,FALSE)</f>
        <v>ABG(+)</v>
      </c>
      <c r="M166" t="str">
        <f>VLOOKUP(A166,representatives_list!A:B,2,FALSE)</f>
        <v>Virion DNA-directed RNA polymerase domain</v>
      </c>
      <c r="N166" t="str">
        <f>VLOOKUP(B166,representatives_list!A:B,2,FALSE)</f>
        <v>DNA/RNA polymerases</v>
      </c>
      <c r="O166" t="str">
        <f>VLOOKUP(aggregated_results!B166,representatives_list!A:E,5,FALSE)</f>
        <v>ABG(–)</v>
      </c>
      <c r="P166" t="str">
        <f>VLOOKUP(aggregated_results!B166,representatives_list!A:D,3,FALSE)</f>
        <v>PPi</v>
      </c>
      <c r="Q166" t="str">
        <f>VLOOKUP(aggregated_results!B166,representatives_list!A:D,4,FALSE)</f>
        <v>e.8.1</v>
      </c>
    </row>
    <row r="167" spans="1:17" x14ac:dyDescent="0.25">
      <c r="A167" t="s">
        <v>60</v>
      </c>
      <c r="B167" t="s">
        <v>26</v>
      </c>
      <c r="C167">
        <v>3.5</v>
      </c>
      <c r="D167">
        <v>3.6</v>
      </c>
      <c r="E167">
        <v>62</v>
      </c>
      <c r="F167">
        <v>1095</v>
      </c>
      <c r="G167">
        <v>5</v>
      </c>
      <c r="I167" t="e">
        <f t="shared" si="2"/>
        <v>#N/A</v>
      </c>
      <c r="J167" t="str">
        <f>VLOOKUP(aggregated_results!A167,representatives_list!A:D,4,FALSE)</f>
        <v>N/A</v>
      </c>
      <c r="K167" t="str">
        <f>VLOOKUP(aggregated_results!A167,representatives_list!A:D,3,FALSE)</f>
        <v>PPi</v>
      </c>
      <c r="L167" t="str">
        <f>VLOOKUP(aggregated_results!A167,representatives_list!A:E,5,FALSE)</f>
        <v>ABG(+)</v>
      </c>
      <c r="M167" t="str">
        <f>VLOOKUP(A167,representatives_list!A:B,2,FALSE)</f>
        <v>Virion DNA-directed RNA polymerase domain</v>
      </c>
      <c r="N167" t="str">
        <f>VLOOKUP(B167,representatives_list!A:B,2,FALSE)</f>
        <v>GlnB-like</v>
      </c>
      <c r="O167" t="str">
        <f>VLOOKUP(aggregated_results!B167,representatives_list!A:E,5,FALSE)</f>
        <v>ABG(–)</v>
      </c>
      <c r="P167" t="str">
        <f>VLOOKUP(aggregated_results!B167,representatives_list!A:D,3,FALSE)</f>
        <v>Pi</v>
      </c>
      <c r="Q167" t="str">
        <f>VLOOKUP(aggregated_results!B167,representatives_list!A:D,4,FALSE)</f>
        <v>d.58.5</v>
      </c>
    </row>
    <row r="168" spans="1:17" x14ac:dyDescent="0.25">
      <c r="A168" t="s">
        <v>55</v>
      </c>
      <c r="B168" t="s">
        <v>34</v>
      </c>
      <c r="C168">
        <v>3.5</v>
      </c>
      <c r="D168">
        <v>4.3</v>
      </c>
      <c r="E168">
        <v>104</v>
      </c>
      <c r="F168">
        <v>321</v>
      </c>
      <c r="G168">
        <v>8</v>
      </c>
      <c r="I168" t="str">
        <f t="shared" si="2"/>
        <v/>
      </c>
      <c r="J168" t="str">
        <f>VLOOKUP(aggregated_results!A168,representatives_list!A:D,4,FALSE)</f>
        <v>e.13.1</v>
      </c>
      <c r="K168" t="str">
        <f>VLOOKUP(aggregated_results!A168,representatives_list!A:D,3,FALSE)</f>
        <v>PPi</v>
      </c>
      <c r="L168" t="str">
        <f>VLOOKUP(aggregated_results!A168,representatives_list!A:E,5,FALSE)</f>
        <v>AB(–)</v>
      </c>
      <c r="M168" t="str">
        <f>VLOOKUP(A168,representatives_list!A:B,2,FALSE)</f>
        <v>DNA primase core</v>
      </c>
      <c r="N168" t="str">
        <f>VLOOKUP(B168,representatives_list!A:B,2,FALSE)</f>
        <v>Tubulin nucleotide-binding domain-like</v>
      </c>
      <c r="O168" t="str">
        <f>VLOOKUP(aggregated_results!B168,representatives_list!A:E,5,FALSE)</f>
        <v>BG(–)</v>
      </c>
      <c r="P168" t="str">
        <f>VLOOKUP(aggregated_results!B168,representatives_list!A:D,3,FALSE)</f>
        <v>Pi</v>
      </c>
      <c r="Q168" t="str">
        <f>VLOOKUP(aggregated_results!B168,representatives_list!A:D,4,FALSE)</f>
        <v>c.32.1</v>
      </c>
    </row>
    <row r="169" spans="1:17" x14ac:dyDescent="0.25">
      <c r="A169" t="s">
        <v>55</v>
      </c>
      <c r="B169" t="s">
        <v>37</v>
      </c>
      <c r="C169">
        <v>3.5</v>
      </c>
      <c r="D169">
        <v>3.7</v>
      </c>
      <c r="E169">
        <v>103</v>
      </c>
      <c r="F169">
        <v>321</v>
      </c>
      <c r="G169">
        <v>11</v>
      </c>
      <c r="I169" t="str">
        <f t="shared" si="2"/>
        <v/>
      </c>
      <c r="J169" t="str">
        <f>VLOOKUP(aggregated_results!A169,representatives_list!A:D,4,FALSE)</f>
        <v>e.13.1</v>
      </c>
      <c r="K169" t="str">
        <f>VLOOKUP(aggregated_results!A169,representatives_list!A:D,3,FALSE)</f>
        <v>PPi</v>
      </c>
      <c r="L169" t="str">
        <f>VLOOKUP(aggregated_results!A169,representatives_list!A:E,5,FALSE)</f>
        <v>AB(–)</v>
      </c>
      <c r="M169" t="str">
        <f>VLOOKUP(A169,representatives_list!A:B,2,FALSE)</f>
        <v>DNA primase core</v>
      </c>
      <c r="N169" t="str">
        <f>VLOOKUP(B169,representatives_list!A:B,2,FALSE)</f>
        <v>Phosphofructokinase</v>
      </c>
      <c r="O169" t="str">
        <f>VLOOKUP(aggregated_results!B169,representatives_list!A:E,5,FALSE)</f>
        <v>ABG(–)</v>
      </c>
      <c r="P169" t="str">
        <f>VLOOKUP(aggregated_results!B169,representatives_list!A:D,3,FALSE)</f>
        <v>Pi</v>
      </c>
      <c r="Q169" t="str">
        <f>VLOOKUP(aggregated_results!B169,representatives_list!A:D,4,FALSE)</f>
        <v>c.89.1</v>
      </c>
    </row>
    <row r="170" spans="1:17" x14ac:dyDescent="0.25">
      <c r="A170" t="s">
        <v>55</v>
      </c>
      <c r="B170" t="s">
        <v>42</v>
      </c>
      <c r="C170">
        <v>3.5</v>
      </c>
      <c r="D170">
        <v>4.0999999999999996</v>
      </c>
      <c r="E170">
        <v>95</v>
      </c>
      <c r="F170">
        <v>321</v>
      </c>
      <c r="G170">
        <v>6</v>
      </c>
      <c r="I170" t="str">
        <f t="shared" si="2"/>
        <v/>
      </c>
      <c r="J170" t="str">
        <f>VLOOKUP(aggregated_results!A170,representatives_list!A:D,4,FALSE)</f>
        <v>e.13.1</v>
      </c>
      <c r="K170" t="str">
        <f>VLOOKUP(aggregated_results!A170,representatives_list!A:D,3,FALSE)</f>
        <v>PPi</v>
      </c>
      <c r="L170" t="str">
        <f>VLOOKUP(aggregated_results!A170,representatives_list!A:E,5,FALSE)</f>
        <v>AB(–)</v>
      </c>
      <c r="M170" t="str">
        <f>VLOOKUP(A170,representatives_list!A:B,2,FALSE)</f>
        <v>DNA primase core</v>
      </c>
      <c r="N170" t="str">
        <f>VLOOKUP(B170,representatives_list!A:B,2,FALSE)</f>
        <v>NAD kinase/diacylglycerol kinase-like</v>
      </c>
      <c r="O170" t="str">
        <f>VLOOKUP(aggregated_results!B170,representatives_list!A:E,5,FALSE)</f>
        <v>ABG(+)</v>
      </c>
      <c r="P170" t="str">
        <f>VLOOKUP(aggregated_results!B170,representatives_list!A:D,3,FALSE)</f>
        <v>Pi</v>
      </c>
      <c r="Q170" t="str">
        <f>VLOOKUP(aggregated_results!B170,representatives_list!A:D,4,FALSE)</f>
        <v>e.52.1</v>
      </c>
    </row>
    <row r="171" spans="1:17" x14ac:dyDescent="0.25">
      <c r="A171" t="s">
        <v>46</v>
      </c>
      <c r="B171" t="s">
        <v>28</v>
      </c>
      <c r="C171">
        <v>3.5</v>
      </c>
      <c r="D171">
        <v>3.9</v>
      </c>
      <c r="E171">
        <v>119</v>
      </c>
      <c r="F171">
        <v>253</v>
      </c>
      <c r="G171">
        <v>9</v>
      </c>
      <c r="I171" t="e">
        <f t="shared" si="2"/>
        <v>#N/A</v>
      </c>
      <c r="J171" t="str">
        <f>VLOOKUP(aggregated_results!A171,representatives_list!A:D,4,FALSE)</f>
        <v>N/A</v>
      </c>
      <c r="K171" t="str">
        <f>VLOOKUP(aggregated_results!A171,representatives_list!A:D,3,FALSE)</f>
        <v>PPi</v>
      </c>
      <c r="L171" t="str">
        <f>VLOOKUP(aggregated_results!A171,representatives_list!A:E,5,FALSE)</f>
        <v>ABG(+)</v>
      </c>
      <c r="M171" t="str">
        <f>VLOOKUP(A171,representatives_list!A:B,2,FALSE)</f>
        <v>Phosphopantoate/pantothenate synthetase superfamily</v>
      </c>
      <c r="N171" t="str">
        <f>VLOOKUP(B171,representatives_list!A:B,2,FALSE)</f>
        <v>Activating enzymes of the ubiquitin-like proteins</v>
      </c>
      <c r="O171" t="str">
        <f>VLOOKUP(aggregated_results!B171,representatives_list!A:E,5,FALSE)</f>
        <v>ABG(+)</v>
      </c>
      <c r="P171" t="str">
        <f>VLOOKUP(aggregated_results!B171,representatives_list!A:D,3,FALSE)</f>
        <v>PPi</v>
      </c>
      <c r="Q171" t="str">
        <f>VLOOKUP(aggregated_results!B171,representatives_list!A:D,4,FALSE)</f>
        <v>c.111.1</v>
      </c>
    </row>
    <row r="172" spans="1:17" x14ac:dyDescent="0.25">
      <c r="A172" t="s">
        <v>20</v>
      </c>
      <c r="B172" t="s">
        <v>77</v>
      </c>
      <c r="C172">
        <v>3.5</v>
      </c>
      <c r="D172">
        <v>8.6</v>
      </c>
      <c r="E172">
        <v>140</v>
      </c>
      <c r="F172">
        <v>994</v>
      </c>
      <c r="G172">
        <v>7</v>
      </c>
      <c r="I172" t="e">
        <f t="shared" si="2"/>
        <v>#N/A</v>
      </c>
      <c r="J172" t="str">
        <f>VLOOKUP(aggregated_results!A172,representatives_list!A:D,4,FALSE)</f>
        <v>N/A</v>
      </c>
      <c r="K172" t="str">
        <f>VLOOKUP(aggregated_results!A172,representatives_list!A:D,3,FALSE)</f>
        <v>PPi</v>
      </c>
      <c r="L172" t="str">
        <f>VLOOKUP(aggregated_results!A172,representatives_list!A:E,5,FALSE)</f>
        <v>ABG(–)</v>
      </c>
      <c r="M172" t="str">
        <f>VLOOKUP(A172,representatives_list!A:B,2,FALSE)</f>
        <v>Bacterial DNA polymerase III, alpha subunit, NTPase domain</v>
      </c>
      <c r="N172" t="str">
        <f>VLOOKUP(B172,representatives_list!A:B,2,FALSE)</f>
        <v>Nucleotidyltransferase</v>
      </c>
      <c r="O172" t="str">
        <f>VLOOKUP(aggregated_results!B172,representatives_list!A:E,5,FALSE)</f>
        <v>ABG(–)</v>
      </c>
      <c r="P172" t="str">
        <f>VLOOKUP(aggregated_results!B172,representatives_list!A:D,3,FALSE)</f>
        <v>PPi</v>
      </c>
      <c r="Q172" t="str">
        <f>VLOOKUP(aggregated_results!B172,representatives_list!A:D,4,FALSE)</f>
        <v>d.218.1</v>
      </c>
    </row>
    <row r="173" spans="1:17" x14ac:dyDescent="0.25">
      <c r="A173" t="s">
        <v>64</v>
      </c>
      <c r="B173" t="s">
        <v>25</v>
      </c>
      <c r="C173">
        <v>3.5</v>
      </c>
      <c r="D173">
        <v>6.3</v>
      </c>
      <c r="E173">
        <v>160</v>
      </c>
      <c r="F173">
        <v>412</v>
      </c>
      <c r="G173">
        <v>9</v>
      </c>
      <c r="I173" t="str">
        <f t="shared" si="2"/>
        <v/>
      </c>
      <c r="J173" t="str">
        <f>VLOOKUP(aggregated_results!A173,representatives_list!A:D,4,FALSE)</f>
        <v>c.146.1</v>
      </c>
      <c r="K173" t="str">
        <f>VLOOKUP(aggregated_results!A173,representatives_list!A:D,3,FALSE)</f>
        <v>Pi</v>
      </c>
      <c r="L173" t="str">
        <f>VLOOKUP(aggregated_results!A173,representatives_list!A:E,5,FALSE)</f>
        <v>N/A</v>
      </c>
      <c r="M173" t="str">
        <f>VLOOKUP(A173,representatives_list!A:B,2,FALSE)</f>
        <v>YgbK-like</v>
      </c>
      <c r="N173" t="str">
        <f>VLOOKUP(B173,representatives_list!A:B,2,FALSE)</f>
        <v>Carbamate kinase-like</v>
      </c>
      <c r="O173" t="str">
        <f>VLOOKUP(aggregated_results!B173,representatives_list!A:E,5,FALSE)</f>
        <v>ABG(+)</v>
      </c>
      <c r="P173" t="str">
        <f>VLOOKUP(aggregated_results!B173,representatives_list!A:D,3,FALSE)</f>
        <v>Pi</v>
      </c>
      <c r="Q173" t="str">
        <f>VLOOKUP(aggregated_results!B173,representatives_list!A:D,4,FALSE)</f>
        <v>c.73.1</v>
      </c>
    </row>
    <row r="174" spans="1:17" x14ac:dyDescent="0.25">
      <c r="A174" t="s">
        <v>80</v>
      </c>
      <c r="B174" t="s">
        <v>34</v>
      </c>
      <c r="C174">
        <v>3.5</v>
      </c>
      <c r="D174">
        <v>4.0999999999999996</v>
      </c>
      <c r="E174">
        <v>123</v>
      </c>
      <c r="F174">
        <v>218</v>
      </c>
      <c r="G174">
        <v>8</v>
      </c>
      <c r="I174" t="str">
        <f t="shared" si="2"/>
        <v/>
      </c>
      <c r="J174" t="str">
        <f>VLOOKUP(aggregated_results!A174,representatives_list!A:D,4,FALSE)</f>
        <v>c.124.1</v>
      </c>
      <c r="K174" t="str">
        <f>VLOOKUP(aggregated_results!A174,representatives_list!A:D,3,FALSE)</f>
        <v>Pi</v>
      </c>
      <c r="L174" t="str">
        <f>VLOOKUP(aggregated_results!A174,representatives_list!A:E,5,FALSE)</f>
        <v>N/A</v>
      </c>
      <c r="M174" t="str">
        <f>VLOOKUP(A174,representatives_list!A:B,2,FALSE)</f>
        <v>NagB/RpiA/CoA transferase-like</v>
      </c>
      <c r="N174" t="str">
        <f>VLOOKUP(B174,representatives_list!A:B,2,FALSE)</f>
        <v>Tubulin nucleotide-binding domain-like</v>
      </c>
      <c r="O174" t="str">
        <f>VLOOKUP(aggregated_results!B174,representatives_list!A:E,5,FALSE)</f>
        <v>BG(–)</v>
      </c>
      <c r="P174" t="str">
        <f>VLOOKUP(aggregated_results!B174,representatives_list!A:D,3,FALSE)</f>
        <v>Pi</v>
      </c>
      <c r="Q174" t="str">
        <f>VLOOKUP(aggregated_results!B174,representatives_list!A:D,4,FALSE)</f>
        <v>c.32.1</v>
      </c>
    </row>
    <row r="175" spans="1:17" x14ac:dyDescent="0.25">
      <c r="A175" t="s">
        <v>80</v>
      </c>
      <c r="B175" t="s">
        <v>48</v>
      </c>
      <c r="C175">
        <v>3.5</v>
      </c>
      <c r="D175">
        <v>4.0999999999999996</v>
      </c>
      <c r="E175">
        <v>112</v>
      </c>
      <c r="F175">
        <v>218</v>
      </c>
      <c r="G175">
        <v>5</v>
      </c>
      <c r="I175" t="str">
        <f t="shared" si="2"/>
        <v/>
      </c>
      <c r="J175" t="str">
        <f>VLOOKUP(aggregated_results!A175,representatives_list!A:D,4,FALSE)</f>
        <v>c.124.1</v>
      </c>
      <c r="K175" t="str">
        <f>VLOOKUP(aggregated_results!A175,representatives_list!A:D,3,FALSE)</f>
        <v>Pi</v>
      </c>
      <c r="L175" t="str">
        <f>VLOOKUP(aggregated_results!A175,representatives_list!A:E,5,FALSE)</f>
        <v>N/A</v>
      </c>
      <c r="M175" t="str">
        <f>VLOOKUP(A175,representatives_list!A:B,2,FALSE)</f>
        <v>NagB/RpiA/CoA transferase-like</v>
      </c>
      <c r="N175" t="str">
        <f>VLOOKUP(B175,representatives_list!A:B,2,FALSE)</f>
        <v>Metal cation-transporting ATPase, ATP-binding domain N</v>
      </c>
      <c r="O175" t="str">
        <f>VLOOKUP(aggregated_results!B175,representatives_list!A:E,5,FALSE)</f>
        <v>BG(–)</v>
      </c>
      <c r="P175" t="str">
        <f>VLOOKUP(aggregated_results!B175,representatives_list!A:D,3,FALSE)</f>
        <v>Pi</v>
      </c>
      <c r="Q175" t="str">
        <f>VLOOKUP(aggregated_results!B175,representatives_list!A:D,4,FALSE)</f>
        <v>d.220.1</v>
      </c>
    </row>
    <row r="176" spans="1:17" x14ac:dyDescent="0.25">
      <c r="A176" t="s">
        <v>34</v>
      </c>
      <c r="B176" t="s">
        <v>52</v>
      </c>
      <c r="C176">
        <v>3.4</v>
      </c>
      <c r="D176">
        <v>11.7</v>
      </c>
      <c r="E176">
        <v>109</v>
      </c>
      <c r="F176">
        <v>426</v>
      </c>
      <c r="G176">
        <v>8</v>
      </c>
      <c r="I176" t="str">
        <f t="shared" si="2"/>
        <v/>
      </c>
      <c r="J176" t="str">
        <f>VLOOKUP(aggregated_results!A176,representatives_list!A:D,4,FALSE)</f>
        <v>c.32.1</v>
      </c>
      <c r="K176" t="str">
        <f>VLOOKUP(aggregated_results!A176,representatives_list!A:D,3,FALSE)</f>
        <v>Pi</v>
      </c>
      <c r="L176" t="str">
        <f>VLOOKUP(aggregated_results!A176,representatives_list!A:E,5,FALSE)</f>
        <v>BG(–)</v>
      </c>
      <c r="M176" t="str">
        <f>VLOOKUP(A176,representatives_list!A:B,2,FALSE)</f>
        <v>Tubulin nucleotide-binding domain-like</v>
      </c>
      <c r="N176" t="str">
        <f>VLOOKUP(B176,representatives_list!A:B,2,FALSE)</f>
        <v>PurM N-terminal domain-like</v>
      </c>
      <c r="O176" t="str">
        <f>VLOOKUP(aggregated_results!B176,representatives_list!A:E,5,FALSE)</f>
        <v>ABG(+)</v>
      </c>
      <c r="P176" t="str">
        <f>VLOOKUP(aggregated_results!B176,representatives_list!A:D,3,FALSE)</f>
        <v>Pi</v>
      </c>
      <c r="Q176" t="str">
        <f>VLOOKUP(aggregated_results!B176,representatives_list!A:D,4,FALSE)</f>
        <v>d.79.4</v>
      </c>
    </row>
    <row r="177" spans="1:17" x14ac:dyDescent="0.25">
      <c r="A177" t="s">
        <v>77</v>
      </c>
      <c r="B177" t="s">
        <v>48</v>
      </c>
      <c r="C177">
        <v>3.4</v>
      </c>
      <c r="D177">
        <v>12.5</v>
      </c>
      <c r="E177">
        <v>101</v>
      </c>
      <c r="F177">
        <v>329</v>
      </c>
      <c r="G177">
        <v>10</v>
      </c>
      <c r="I177" t="str">
        <f t="shared" si="2"/>
        <v/>
      </c>
      <c r="J177" t="str">
        <f>VLOOKUP(aggregated_results!A177,representatives_list!A:D,4,FALSE)</f>
        <v>d.218.1</v>
      </c>
      <c r="K177" t="str">
        <f>VLOOKUP(aggregated_results!A177,representatives_list!A:D,3,FALSE)</f>
        <v>PPi</v>
      </c>
      <c r="L177" t="str">
        <f>VLOOKUP(aggregated_results!A177,representatives_list!A:E,5,FALSE)</f>
        <v>ABG(–)</v>
      </c>
      <c r="M177" t="str">
        <f>VLOOKUP(A177,representatives_list!A:B,2,FALSE)</f>
        <v>Nucleotidyltransferase</v>
      </c>
      <c r="N177" t="str">
        <f>VLOOKUP(B177,representatives_list!A:B,2,FALSE)</f>
        <v>Metal cation-transporting ATPase, ATP-binding domain N</v>
      </c>
      <c r="O177" t="str">
        <f>VLOOKUP(aggregated_results!B177,representatives_list!A:E,5,FALSE)</f>
        <v>BG(–)</v>
      </c>
      <c r="P177" t="str">
        <f>VLOOKUP(aggregated_results!B177,representatives_list!A:D,3,FALSE)</f>
        <v>Pi</v>
      </c>
      <c r="Q177" t="str">
        <f>VLOOKUP(aggregated_results!B177,representatives_list!A:D,4,FALSE)</f>
        <v>d.220.1</v>
      </c>
    </row>
    <row r="178" spans="1:17" x14ac:dyDescent="0.25">
      <c r="A178" t="s">
        <v>54</v>
      </c>
      <c r="B178" t="s">
        <v>23</v>
      </c>
      <c r="C178">
        <v>3.4</v>
      </c>
      <c r="D178">
        <v>3.5</v>
      </c>
      <c r="E178">
        <v>92</v>
      </c>
      <c r="F178">
        <v>317</v>
      </c>
      <c r="G178">
        <v>7</v>
      </c>
      <c r="I178" t="str">
        <f t="shared" si="2"/>
        <v/>
      </c>
      <c r="J178" t="str">
        <f>VLOOKUP(aggregated_results!A178,representatives_list!A:D,4,FALSE)</f>
        <v>d.142.1</v>
      </c>
      <c r="K178" t="str">
        <f>VLOOKUP(aggregated_results!A178,representatives_list!A:D,3,FALSE)</f>
        <v>Pi</v>
      </c>
      <c r="L178" t="str">
        <f>VLOOKUP(aggregated_results!A178,representatives_list!A:E,5,FALSE)</f>
        <v>BG(–)</v>
      </c>
      <c r="M178" t="str">
        <f>VLOOKUP(A178,representatives_list!A:B,2,FALSE)</f>
        <v>Glutathione synthetase ATP-binding domain-like</v>
      </c>
      <c r="N178" t="str">
        <f>VLOOKUP(B178,representatives_list!A:B,2,FALSE)</f>
        <v>MurD-like peptide ligases, catalytic domain</v>
      </c>
      <c r="O178" t="str">
        <f>VLOOKUP(aggregated_results!B178,representatives_list!A:E,5,FALSE)</f>
        <v>BG(–)</v>
      </c>
      <c r="P178" t="str">
        <f>VLOOKUP(aggregated_results!B178,representatives_list!A:D,3,FALSE)</f>
        <v>Pi</v>
      </c>
      <c r="Q178" t="str">
        <f>VLOOKUP(aggregated_results!B178,representatives_list!A:D,4,FALSE)</f>
        <v>c.72.2</v>
      </c>
    </row>
    <row r="179" spans="1:17" x14ac:dyDescent="0.25">
      <c r="A179" t="s">
        <v>33</v>
      </c>
      <c r="B179" t="s">
        <v>27</v>
      </c>
      <c r="C179">
        <v>3.4</v>
      </c>
      <c r="D179">
        <v>3.8</v>
      </c>
      <c r="E179">
        <v>117</v>
      </c>
      <c r="F179">
        <v>530</v>
      </c>
      <c r="G179">
        <v>7</v>
      </c>
      <c r="I179" t="str">
        <f t="shared" si="2"/>
        <v/>
      </c>
      <c r="J179" t="str">
        <f>VLOOKUP(aggregated_results!A179,representatives_list!A:D,4,FALSE)</f>
        <v>e.23.1</v>
      </c>
      <c r="K179" t="str">
        <f>VLOOKUP(aggregated_results!A179,representatives_list!A:D,3,FALSE)</f>
        <v>PPi</v>
      </c>
      <c r="L179" t="str">
        <f>VLOOKUP(aggregated_results!A179,representatives_list!A:E,5,FALSE)</f>
        <v>BG(+)</v>
      </c>
      <c r="M179" t="str">
        <f>VLOOKUP(A179,representatives_list!A:B,2,FALSE)</f>
        <v>Acetyl-CoA synthetase-like</v>
      </c>
      <c r="N179" t="str">
        <f>VLOOKUP(B179,representatives_list!A:B,2,FALSE)</f>
        <v>CoaB-like</v>
      </c>
      <c r="O179" t="str">
        <f>VLOOKUP(aggregated_results!B179,representatives_list!A:E,5,FALSE)</f>
        <v>ABG(–)</v>
      </c>
      <c r="P179" t="str">
        <f>VLOOKUP(aggregated_results!B179,representatives_list!A:D,3,FALSE)</f>
        <v>PPi</v>
      </c>
      <c r="Q179" t="str">
        <f>VLOOKUP(aggregated_results!B179,representatives_list!A:D,4,FALSE)</f>
        <v>c.72.3</v>
      </c>
    </row>
    <row r="180" spans="1:17" x14ac:dyDescent="0.25">
      <c r="A180" t="s">
        <v>33</v>
      </c>
      <c r="B180" t="s">
        <v>36</v>
      </c>
      <c r="C180">
        <v>3.4</v>
      </c>
      <c r="D180">
        <v>3.2</v>
      </c>
      <c r="E180">
        <v>84</v>
      </c>
      <c r="F180">
        <v>530</v>
      </c>
      <c r="G180">
        <v>6</v>
      </c>
      <c r="I180" t="str">
        <f t="shared" si="2"/>
        <v/>
      </c>
      <c r="J180" t="str">
        <f>VLOOKUP(aggregated_results!A180,representatives_list!A:D,4,FALSE)</f>
        <v>e.23.1</v>
      </c>
      <c r="K180" t="str">
        <f>VLOOKUP(aggregated_results!A180,representatives_list!A:D,3,FALSE)</f>
        <v>PPi</v>
      </c>
      <c r="L180" t="str">
        <f>VLOOKUP(aggregated_results!A180,representatives_list!A:E,5,FALSE)</f>
        <v>BG(+)</v>
      </c>
      <c r="M180" t="str">
        <f>VLOOKUP(A180,representatives_list!A:B,2,FALSE)</f>
        <v>Acetyl-CoA synthetase-like</v>
      </c>
      <c r="N180" t="str">
        <f>VLOOKUP(B180,representatives_list!A:B,2,FALSE)</f>
        <v>P-loop containing nucleoside triphosphate hydrolases</v>
      </c>
      <c r="O180" t="str">
        <f>VLOOKUP(aggregated_results!B180,representatives_list!A:E,5,FALSE)</f>
        <v>BG(–)</v>
      </c>
      <c r="P180" t="str">
        <f>VLOOKUP(aggregated_results!B180,representatives_list!A:D,3,FALSE)</f>
        <v>Pi</v>
      </c>
      <c r="Q180" t="str">
        <f>VLOOKUP(aggregated_results!B180,representatives_list!A:D,4,FALSE)</f>
        <v>c.37.1</v>
      </c>
    </row>
    <row r="181" spans="1:17" x14ac:dyDescent="0.25">
      <c r="A181" t="s">
        <v>17</v>
      </c>
      <c r="B181" t="s">
        <v>21</v>
      </c>
      <c r="C181">
        <v>3.4</v>
      </c>
      <c r="D181">
        <v>7.8</v>
      </c>
      <c r="E181">
        <v>109</v>
      </c>
      <c r="F181">
        <v>427</v>
      </c>
      <c r="G181">
        <v>9</v>
      </c>
      <c r="I181" t="str">
        <f t="shared" si="2"/>
        <v/>
      </c>
      <c r="J181" t="str">
        <f>VLOOKUP(aggregated_results!A181,representatives_list!A:D,4,FALSE)</f>
        <v>e.8.1</v>
      </c>
      <c r="K181" t="str">
        <f>VLOOKUP(aggregated_results!A181,representatives_list!A:D,3,FALSE)</f>
        <v>PPi</v>
      </c>
      <c r="L181" t="str">
        <f>VLOOKUP(aggregated_results!A181,representatives_list!A:E,5,FALSE)</f>
        <v>ABG(–)</v>
      </c>
      <c r="M181" t="str">
        <f>VLOOKUP(A181,representatives_list!A:B,2,FALSE)</f>
        <v>DNA/RNA polymerases</v>
      </c>
      <c r="N181" t="str">
        <f>VLOOKUP(B181,representatives_list!A:B,2,FALSE)</f>
        <v>YrdC/RibB</v>
      </c>
      <c r="O181" t="str">
        <f>VLOOKUP(aggregated_results!B181,representatives_list!A:E,5,FALSE)</f>
        <v>ABG(–)</v>
      </c>
      <c r="P181" t="str">
        <f>VLOOKUP(aggregated_results!B181,representatives_list!A:D,3,FALSE)</f>
        <v>PPi</v>
      </c>
      <c r="Q181" t="str">
        <f>VLOOKUP(aggregated_results!B181,representatives_list!A:D,4,FALSE)</f>
        <v>d.115.1</v>
      </c>
    </row>
    <row r="182" spans="1:17" x14ac:dyDescent="0.25">
      <c r="A182" t="s">
        <v>17</v>
      </c>
      <c r="B182" t="s">
        <v>25</v>
      </c>
      <c r="C182">
        <v>3.4</v>
      </c>
      <c r="D182">
        <v>4.5999999999999996</v>
      </c>
      <c r="E182">
        <v>87</v>
      </c>
      <c r="F182">
        <v>427</v>
      </c>
      <c r="G182">
        <v>18</v>
      </c>
      <c r="I182" t="str">
        <f t="shared" si="2"/>
        <v/>
      </c>
      <c r="J182" t="str">
        <f>VLOOKUP(aggregated_results!A182,representatives_list!A:D,4,FALSE)</f>
        <v>e.8.1</v>
      </c>
      <c r="K182" t="str">
        <f>VLOOKUP(aggregated_results!A182,representatives_list!A:D,3,FALSE)</f>
        <v>PPi</v>
      </c>
      <c r="L182" t="str">
        <f>VLOOKUP(aggregated_results!A182,representatives_list!A:E,5,FALSE)</f>
        <v>ABG(–)</v>
      </c>
      <c r="M182" t="str">
        <f>VLOOKUP(A182,representatives_list!A:B,2,FALSE)</f>
        <v>DNA/RNA polymerases</v>
      </c>
      <c r="N182" t="str">
        <f>VLOOKUP(B182,representatives_list!A:B,2,FALSE)</f>
        <v>Carbamate kinase-like</v>
      </c>
      <c r="O182" t="str">
        <f>VLOOKUP(aggregated_results!B182,representatives_list!A:E,5,FALSE)</f>
        <v>ABG(+)</v>
      </c>
      <c r="P182" t="str">
        <f>VLOOKUP(aggregated_results!B182,representatives_list!A:D,3,FALSE)</f>
        <v>Pi</v>
      </c>
      <c r="Q182" t="str">
        <f>VLOOKUP(aggregated_results!B182,representatives_list!A:D,4,FALSE)</f>
        <v>c.73.1</v>
      </c>
    </row>
    <row r="183" spans="1:17" x14ac:dyDescent="0.25">
      <c r="A183" t="s">
        <v>30</v>
      </c>
      <c r="B183" t="s">
        <v>34</v>
      </c>
      <c r="C183">
        <v>3.4</v>
      </c>
      <c r="D183">
        <v>4</v>
      </c>
      <c r="E183">
        <v>128</v>
      </c>
      <c r="F183">
        <v>371</v>
      </c>
      <c r="G183">
        <v>5</v>
      </c>
      <c r="I183" t="str">
        <f t="shared" si="2"/>
        <v/>
      </c>
      <c r="J183" t="str">
        <f>VLOOKUP(aggregated_results!A183,representatives_list!A:D,4,FALSE)</f>
        <v>c.141.1</v>
      </c>
      <c r="K183" t="str">
        <f>VLOOKUP(aggregated_results!A183,representatives_list!A:D,3,FALSE)</f>
        <v>Pi</v>
      </c>
      <c r="L183" t="str">
        <f>VLOOKUP(aggregated_results!A183,representatives_list!A:E,5,FALSE)</f>
        <v>N/A</v>
      </c>
      <c r="M183" t="str">
        <f>VLOOKUP(A183,representatives_list!A:B,2,FALSE)</f>
        <v>Glycerate kinase I</v>
      </c>
      <c r="N183" t="str">
        <f>VLOOKUP(B183,representatives_list!A:B,2,FALSE)</f>
        <v>Tubulin nucleotide-binding domain-like</v>
      </c>
      <c r="O183" t="str">
        <f>VLOOKUP(aggregated_results!B183,representatives_list!A:E,5,FALSE)</f>
        <v>BG(–)</v>
      </c>
      <c r="P183" t="str">
        <f>VLOOKUP(aggregated_results!B183,representatives_list!A:D,3,FALSE)</f>
        <v>Pi</v>
      </c>
      <c r="Q183" t="str">
        <f>VLOOKUP(aggregated_results!B183,representatives_list!A:D,4,FALSE)</f>
        <v>c.32.1</v>
      </c>
    </row>
    <row r="184" spans="1:17" x14ac:dyDescent="0.25">
      <c r="A184" t="s">
        <v>36</v>
      </c>
      <c r="B184" t="s">
        <v>32</v>
      </c>
      <c r="C184">
        <v>3.4</v>
      </c>
      <c r="D184">
        <v>3.5</v>
      </c>
      <c r="E184">
        <v>92</v>
      </c>
      <c r="F184">
        <v>166</v>
      </c>
      <c r="G184">
        <v>10</v>
      </c>
      <c r="I184" t="str">
        <f t="shared" si="2"/>
        <v/>
      </c>
      <c r="J184" t="str">
        <f>VLOOKUP(aggregated_results!A184,representatives_list!A:D,4,FALSE)</f>
        <v>c.37.1</v>
      </c>
      <c r="K184" t="str">
        <f>VLOOKUP(aggregated_results!A184,representatives_list!A:D,3,FALSE)</f>
        <v>Pi</v>
      </c>
      <c r="L184" t="str">
        <f>VLOOKUP(aggregated_results!A184,representatives_list!A:E,5,FALSE)</f>
        <v>BG(–)</v>
      </c>
      <c r="M184" t="str">
        <f>VLOOKUP(A184,representatives_list!A:B,2,FALSE)</f>
        <v>P-loop containing nucleoside triphosphate hydrolases</v>
      </c>
      <c r="N184" t="str">
        <f>VLOOKUP(B184,representatives_list!A:B,2,FALSE)</f>
        <v>Phosphoenolpyruvate/pyruvate domain</v>
      </c>
      <c r="O184" t="str">
        <f>VLOOKUP(aggregated_results!B184,representatives_list!A:E,5,FALSE)</f>
        <v>ABG(–)</v>
      </c>
      <c r="P184" t="str">
        <f>VLOOKUP(aggregated_results!B184,representatives_list!A:D,3,FALSE)</f>
        <v>Pi</v>
      </c>
      <c r="Q184" t="str">
        <f>VLOOKUP(aggregated_results!B184,representatives_list!A:D,4,FALSE)</f>
        <v>c.1.12</v>
      </c>
    </row>
    <row r="185" spans="1:17" x14ac:dyDescent="0.25">
      <c r="A185" t="s">
        <v>29</v>
      </c>
      <c r="B185" t="s">
        <v>54</v>
      </c>
      <c r="C185">
        <v>3.3</v>
      </c>
      <c r="D185">
        <v>4.4000000000000004</v>
      </c>
      <c r="E185">
        <v>126</v>
      </c>
      <c r="F185">
        <v>309</v>
      </c>
      <c r="G185">
        <v>10</v>
      </c>
      <c r="I185" t="str">
        <f t="shared" si="2"/>
        <v/>
      </c>
      <c r="J185" t="str">
        <f>VLOOKUP(aggregated_results!A185,representatives_list!A:D,4,FALSE)</f>
        <v>c.61.1</v>
      </c>
      <c r="K185" t="str">
        <f>VLOOKUP(aggregated_results!A185,representatives_list!A:D,3,FALSE)</f>
        <v>PPi</v>
      </c>
      <c r="L185" t="str">
        <f>VLOOKUP(aggregated_results!A185,representatives_list!A:E,5,FALSE)</f>
        <v>ABG(+)</v>
      </c>
      <c r="M185" t="str">
        <f>VLOOKUP(A185,representatives_list!A:B,2,FALSE)</f>
        <v>PRTase-like</v>
      </c>
      <c r="N185" t="str">
        <f>VLOOKUP(B185,representatives_list!A:B,2,FALSE)</f>
        <v>Glutathione synthetase ATP-binding domain-like</v>
      </c>
      <c r="O185" t="str">
        <f>VLOOKUP(aggregated_results!B185,representatives_list!A:E,5,FALSE)</f>
        <v>BG(–)</v>
      </c>
      <c r="P185" t="str">
        <f>VLOOKUP(aggregated_results!B185,representatives_list!A:D,3,FALSE)</f>
        <v>Pi</v>
      </c>
      <c r="Q185" t="str">
        <f>VLOOKUP(aggregated_results!B185,representatives_list!A:D,4,FALSE)</f>
        <v>d.142.1</v>
      </c>
    </row>
    <row r="186" spans="1:17" x14ac:dyDescent="0.25">
      <c r="A186" t="s">
        <v>28</v>
      </c>
      <c r="B186" t="s">
        <v>55</v>
      </c>
      <c r="C186">
        <v>3.3</v>
      </c>
      <c r="D186">
        <v>7.7</v>
      </c>
      <c r="E186">
        <v>108</v>
      </c>
      <c r="F186">
        <v>301</v>
      </c>
      <c r="G186">
        <v>7</v>
      </c>
      <c r="I186" t="str">
        <f t="shared" si="2"/>
        <v/>
      </c>
      <c r="J186" t="str">
        <f>VLOOKUP(aggregated_results!A186,representatives_list!A:D,4,FALSE)</f>
        <v>c.111.1</v>
      </c>
      <c r="K186" t="str">
        <f>VLOOKUP(aggregated_results!A186,representatives_list!A:D,3,FALSE)</f>
        <v>PPi</v>
      </c>
      <c r="L186" t="str">
        <f>VLOOKUP(aggregated_results!A186,representatives_list!A:E,5,FALSE)</f>
        <v>ABG(+)</v>
      </c>
      <c r="M186" t="str">
        <f>VLOOKUP(A186,representatives_list!A:B,2,FALSE)</f>
        <v>Activating enzymes of the ubiquitin-like proteins</v>
      </c>
      <c r="N186" t="str">
        <f>VLOOKUP(B186,representatives_list!A:B,2,FALSE)</f>
        <v>DNA primase core</v>
      </c>
      <c r="O186" t="str">
        <f>VLOOKUP(aggregated_results!B186,representatives_list!A:E,5,FALSE)</f>
        <v>AB(–)</v>
      </c>
      <c r="P186" t="str">
        <f>VLOOKUP(aggregated_results!B186,representatives_list!A:D,3,FALSE)</f>
        <v>PPi</v>
      </c>
      <c r="Q186" t="str">
        <f>VLOOKUP(aggregated_results!B186,representatives_list!A:D,4,FALSE)</f>
        <v>e.13.1</v>
      </c>
    </row>
    <row r="187" spans="1:17" x14ac:dyDescent="0.25">
      <c r="A187" t="s">
        <v>81</v>
      </c>
      <c r="B187" t="s">
        <v>24</v>
      </c>
      <c r="C187">
        <v>3.3</v>
      </c>
      <c r="D187">
        <v>5</v>
      </c>
      <c r="E187">
        <v>130</v>
      </c>
      <c r="F187">
        <v>277</v>
      </c>
      <c r="G187">
        <v>8</v>
      </c>
      <c r="I187" t="str">
        <f t="shared" si="2"/>
        <v/>
      </c>
      <c r="J187" t="str">
        <f>VLOOKUP(aggregated_results!A187,representatives_list!A:D,4,FALSE)</f>
        <v>c.68.1</v>
      </c>
      <c r="K187" t="str">
        <f>VLOOKUP(aggregated_results!A187,representatives_list!A:D,3,FALSE)</f>
        <v>PPi</v>
      </c>
      <c r="L187" t="str">
        <f>VLOOKUP(aggregated_results!A187,representatives_list!A:E,5,FALSE)</f>
        <v>ABG(+)</v>
      </c>
      <c r="M187" t="str">
        <f>VLOOKUP(A187,representatives_list!A:B,2,FALSE)</f>
        <v>Nucleotide-diphospho-sugar transferases</v>
      </c>
      <c r="N187" t="str">
        <f>VLOOKUP(B187,representatives_list!A:B,2,FALSE)</f>
        <v>Ribokinase-like</v>
      </c>
      <c r="O187" t="str">
        <f>VLOOKUP(aggregated_results!B187,representatives_list!A:E,5,FALSE)</f>
        <v>BG(–)</v>
      </c>
      <c r="P187" t="str">
        <f>VLOOKUP(aggregated_results!B187,representatives_list!A:D,3,FALSE)</f>
        <v>Pi</v>
      </c>
      <c r="Q187" t="str">
        <f>VLOOKUP(aggregated_results!B187,representatives_list!A:D,4,FALSE)</f>
        <v>c.72.1</v>
      </c>
    </row>
    <row r="188" spans="1:17" x14ac:dyDescent="0.25">
      <c r="A188" t="s">
        <v>33</v>
      </c>
      <c r="B188" t="s">
        <v>46</v>
      </c>
      <c r="C188">
        <v>3.3</v>
      </c>
      <c r="D188">
        <v>9.9</v>
      </c>
      <c r="E188">
        <v>103</v>
      </c>
      <c r="F188">
        <v>530</v>
      </c>
      <c r="G188">
        <v>8</v>
      </c>
      <c r="I188" t="e">
        <f t="shared" si="2"/>
        <v>#N/A</v>
      </c>
      <c r="J188" t="str">
        <f>VLOOKUP(aggregated_results!A188,representatives_list!A:D,4,FALSE)</f>
        <v>e.23.1</v>
      </c>
      <c r="K188" t="str">
        <f>VLOOKUP(aggregated_results!A188,representatives_list!A:D,3,FALSE)</f>
        <v>PPi</v>
      </c>
      <c r="L188" t="str">
        <f>VLOOKUP(aggregated_results!A188,representatives_list!A:E,5,FALSE)</f>
        <v>BG(+)</v>
      </c>
      <c r="M188" t="str">
        <f>VLOOKUP(A188,representatives_list!A:B,2,FALSE)</f>
        <v>Acetyl-CoA synthetase-like</v>
      </c>
      <c r="N188" t="str">
        <f>VLOOKUP(B188,representatives_list!A:B,2,FALSE)</f>
        <v>Phosphopantoate/pantothenate synthetase superfamily</v>
      </c>
      <c r="O188" t="str">
        <f>VLOOKUP(aggregated_results!B188,representatives_list!A:E,5,FALSE)</f>
        <v>ABG(+)</v>
      </c>
      <c r="P188" t="str">
        <f>VLOOKUP(aggregated_results!B188,representatives_list!A:D,3,FALSE)</f>
        <v>PPi</v>
      </c>
      <c r="Q188" t="str">
        <f>VLOOKUP(aggregated_results!B188,representatives_list!A:D,4,FALSE)</f>
        <v>N/A</v>
      </c>
    </row>
    <row r="189" spans="1:17" x14ac:dyDescent="0.25">
      <c r="A189" t="s">
        <v>17</v>
      </c>
      <c r="B189" t="s">
        <v>26</v>
      </c>
      <c r="C189">
        <v>3.3</v>
      </c>
      <c r="D189">
        <v>2.9</v>
      </c>
      <c r="E189">
        <v>69</v>
      </c>
      <c r="F189">
        <v>427</v>
      </c>
      <c r="G189">
        <v>4</v>
      </c>
      <c r="I189" t="str">
        <f t="shared" si="2"/>
        <v/>
      </c>
      <c r="J189" t="str">
        <f>VLOOKUP(aggregated_results!A189,representatives_list!A:D,4,FALSE)</f>
        <v>e.8.1</v>
      </c>
      <c r="K189" t="str">
        <f>VLOOKUP(aggregated_results!A189,representatives_list!A:D,3,FALSE)</f>
        <v>PPi</v>
      </c>
      <c r="L189" t="str">
        <f>VLOOKUP(aggregated_results!A189,representatives_list!A:E,5,FALSE)</f>
        <v>ABG(–)</v>
      </c>
      <c r="M189" t="str">
        <f>VLOOKUP(A189,representatives_list!A:B,2,FALSE)</f>
        <v>DNA/RNA polymerases</v>
      </c>
      <c r="N189" t="str">
        <f>VLOOKUP(B189,representatives_list!A:B,2,FALSE)</f>
        <v>GlnB-like</v>
      </c>
      <c r="O189" t="str">
        <f>VLOOKUP(aggregated_results!B189,representatives_list!A:E,5,FALSE)</f>
        <v>ABG(–)</v>
      </c>
      <c r="P189" t="str">
        <f>VLOOKUP(aggregated_results!B189,representatives_list!A:D,3,FALSE)</f>
        <v>Pi</v>
      </c>
      <c r="Q189" t="str">
        <f>VLOOKUP(aggregated_results!B189,representatives_list!A:D,4,FALSE)</f>
        <v>d.58.5</v>
      </c>
    </row>
    <row r="190" spans="1:17" x14ac:dyDescent="0.25">
      <c r="A190" t="s">
        <v>60</v>
      </c>
      <c r="B190" t="s">
        <v>18</v>
      </c>
      <c r="C190">
        <v>3.3</v>
      </c>
      <c r="D190">
        <v>3</v>
      </c>
      <c r="E190">
        <v>93</v>
      </c>
      <c r="F190">
        <v>1095</v>
      </c>
      <c r="G190">
        <v>8</v>
      </c>
      <c r="I190" t="e">
        <f t="shared" si="2"/>
        <v>#N/A</v>
      </c>
      <c r="J190" t="str">
        <f>VLOOKUP(aggregated_results!A190,representatives_list!A:D,4,FALSE)</f>
        <v>N/A</v>
      </c>
      <c r="K190" t="str">
        <f>VLOOKUP(aggregated_results!A190,representatives_list!A:D,3,FALSE)</f>
        <v>PPi</v>
      </c>
      <c r="L190" t="str">
        <f>VLOOKUP(aggregated_results!A190,representatives_list!A:E,5,FALSE)</f>
        <v>ABG(+)</v>
      </c>
      <c r="M190" t="str">
        <f>VLOOKUP(A190,representatives_list!A:B,2,FALSE)</f>
        <v>Virion DNA-directed RNA polymerase domain</v>
      </c>
      <c r="N190" t="str">
        <f>VLOOKUP(B190,representatives_list!A:B,2,FALSE)</f>
        <v>Nucleotide cyclase</v>
      </c>
      <c r="O190" t="str">
        <f>VLOOKUP(aggregated_results!B190,representatives_list!A:E,5,FALSE)</f>
        <v>ABG(–)</v>
      </c>
      <c r="P190" t="str">
        <f>VLOOKUP(aggregated_results!B190,representatives_list!A:D,3,FALSE)</f>
        <v>PPi</v>
      </c>
      <c r="Q190" t="str">
        <f>VLOOKUP(aggregated_results!B190,representatives_list!A:D,4,FALSE)</f>
        <v>d.58.29</v>
      </c>
    </row>
    <row r="191" spans="1:17" x14ac:dyDescent="0.25">
      <c r="A191" t="s">
        <v>55</v>
      </c>
      <c r="B191" t="s">
        <v>57</v>
      </c>
      <c r="C191">
        <v>3.3</v>
      </c>
      <c r="D191">
        <v>3.6</v>
      </c>
      <c r="E191">
        <v>91</v>
      </c>
      <c r="F191">
        <v>321</v>
      </c>
      <c r="G191">
        <v>3</v>
      </c>
      <c r="I191" t="str">
        <f t="shared" si="2"/>
        <v/>
      </c>
      <c r="J191" t="str">
        <f>VLOOKUP(aggregated_results!A191,representatives_list!A:D,4,FALSE)</f>
        <v>e.13.1</v>
      </c>
      <c r="K191" t="str">
        <f>VLOOKUP(aggregated_results!A191,representatives_list!A:D,3,FALSE)</f>
        <v>PPi</v>
      </c>
      <c r="L191" t="str">
        <f>VLOOKUP(aggregated_results!A191,representatives_list!A:E,5,FALSE)</f>
        <v>AB(–)</v>
      </c>
      <c r="M191" t="str">
        <f>VLOOKUP(A191,representatives_list!A:B,2,FALSE)</f>
        <v>DNA primase core</v>
      </c>
      <c r="N191" t="str">
        <f>VLOOKUP(B191,representatives_list!A:B,2,FALSE)</f>
        <v>RibA-like</v>
      </c>
      <c r="O191" t="str">
        <f>VLOOKUP(aggregated_results!B191,representatives_list!A:E,5,FALSE)</f>
        <v>AB</v>
      </c>
      <c r="P191" t="str">
        <f>VLOOKUP(aggregated_results!B191,representatives_list!A:D,3,FALSE)</f>
        <v>PPi</v>
      </c>
      <c r="Q191" t="str">
        <f>VLOOKUP(aggregated_results!B191,representatives_list!A:D,4,FALSE)</f>
        <v>c.144.1</v>
      </c>
    </row>
    <row r="192" spans="1:17" x14ac:dyDescent="0.25">
      <c r="A192" t="s">
        <v>73</v>
      </c>
      <c r="B192" t="s">
        <v>24</v>
      </c>
      <c r="C192">
        <v>3.3</v>
      </c>
      <c r="D192">
        <v>3.9</v>
      </c>
      <c r="E192">
        <v>114</v>
      </c>
      <c r="F192">
        <v>497</v>
      </c>
      <c r="G192">
        <v>7</v>
      </c>
      <c r="I192" t="str">
        <f t="shared" si="2"/>
        <v/>
      </c>
      <c r="J192" t="str">
        <f>VLOOKUP(aggregated_results!A192,representatives_list!A:D,4,FALSE)</f>
        <v>c.26.2</v>
      </c>
      <c r="K192" t="str">
        <f>VLOOKUP(aggregated_results!A192,representatives_list!A:D,3,FALSE)</f>
        <v>PPi</v>
      </c>
      <c r="L192" t="str">
        <f>VLOOKUP(aggregated_results!A192,representatives_list!A:E,5,FALSE)</f>
        <v>ABG(+)</v>
      </c>
      <c r="M192" t="str">
        <f>VLOOKUP(A192,representatives_list!A:B,2,FALSE)</f>
        <v>Adenine nucleotide alpha hydrolases-like</v>
      </c>
      <c r="N192" t="str">
        <f>VLOOKUP(B192,representatives_list!A:B,2,FALSE)</f>
        <v>Ribokinase-like</v>
      </c>
      <c r="O192" t="str">
        <f>VLOOKUP(aggregated_results!B192,representatives_list!A:E,5,FALSE)</f>
        <v>BG(–)</v>
      </c>
      <c r="P192" t="str">
        <f>VLOOKUP(aggregated_results!B192,representatives_list!A:D,3,FALSE)</f>
        <v>Pi</v>
      </c>
      <c r="Q192" t="str">
        <f>VLOOKUP(aggregated_results!B192,representatives_list!A:D,4,FALSE)</f>
        <v>c.72.1</v>
      </c>
    </row>
    <row r="193" spans="1:17" x14ac:dyDescent="0.25">
      <c r="A193" t="s">
        <v>73</v>
      </c>
      <c r="B193" t="s">
        <v>78</v>
      </c>
      <c r="C193">
        <v>3.3</v>
      </c>
      <c r="D193">
        <v>3</v>
      </c>
      <c r="E193">
        <v>51</v>
      </c>
      <c r="F193">
        <v>497</v>
      </c>
      <c r="G193">
        <v>8</v>
      </c>
      <c r="I193" t="str">
        <f t="shared" si="2"/>
        <v/>
      </c>
      <c r="J193" t="str">
        <f>VLOOKUP(aggregated_results!A193,representatives_list!A:D,4,FALSE)</f>
        <v>c.26.2</v>
      </c>
      <c r="K193" t="str">
        <f>VLOOKUP(aggregated_results!A193,representatives_list!A:D,3,FALSE)</f>
        <v>PPi</v>
      </c>
      <c r="L193" t="str">
        <f>VLOOKUP(aggregated_results!A193,representatives_list!A:E,5,FALSE)</f>
        <v>ABG(+)</v>
      </c>
      <c r="M193" t="str">
        <f>VLOOKUP(A193,representatives_list!A:B,2,FALSE)</f>
        <v>Adenine nucleotide alpha hydrolases-like</v>
      </c>
      <c r="N193" t="str">
        <f>VLOOKUP(B193,representatives_list!A:B,2,FALSE)</f>
        <v>beta and beta-prime subunits of DNA dependent RNA-polymerase</v>
      </c>
      <c r="O193" t="str">
        <f>VLOOKUP(aggregated_results!B193,representatives_list!A:E,5,FALSE)</f>
        <v>AB(+)</v>
      </c>
      <c r="P193" t="str">
        <f>VLOOKUP(aggregated_results!B193,representatives_list!A:D,3,FALSE)</f>
        <v>PPi</v>
      </c>
      <c r="Q193" t="str">
        <f>VLOOKUP(aggregated_results!B193,representatives_list!A:D,4,FALSE)</f>
        <v>e.29.1</v>
      </c>
    </row>
    <row r="194" spans="1:17" x14ac:dyDescent="0.25">
      <c r="A194" t="s">
        <v>34</v>
      </c>
      <c r="B194" t="s">
        <v>37</v>
      </c>
      <c r="C194">
        <v>3.2</v>
      </c>
      <c r="D194">
        <v>5</v>
      </c>
      <c r="E194">
        <v>129</v>
      </c>
      <c r="F194">
        <v>426</v>
      </c>
      <c r="G194">
        <v>10</v>
      </c>
      <c r="I194" t="str">
        <f t="shared" si="2"/>
        <v/>
      </c>
      <c r="J194" t="str">
        <f>VLOOKUP(aggregated_results!A194,representatives_list!A:D,4,FALSE)</f>
        <v>c.32.1</v>
      </c>
      <c r="K194" t="str">
        <f>VLOOKUP(aggregated_results!A194,representatives_list!A:D,3,FALSE)</f>
        <v>Pi</v>
      </c>
      <c r="L194" t="str">
        <f>VLOOKUP(aggregated_results!A194,representatives_list!A:E,5,FALSE)</f>
        <v>BG(–)</v>
      </c>
      <c r="M194" t="str">
        <f>VLOOKUP(A194,representatives_list!A:B,2,FALSE)</f>
        <v>Tubulin nucleotide-binding domain-like</v>
      </c>
      <c r="N194" t="str">
        <f>VLOOKUP(B194,representatives_list!A:B,2,FALSE)</f>
        <v>Phosphofructokinase</v>
      </c>
      <c r="O194" t="str">
        <f>VLOOKUP(aggregated_results!B194,representatives_list!A:E,5,FALSE)</f>
        <v>ABG(–)</v>
      </c>
      <c r="P194" t="str">
        <f>VLOOKUP(aggregated_results!B194,representatives_list!A:D,3,FALSE)</f>
        <v>Pi</v>
      </c>
      <c r="Q194" t="str">
        <f>VLOOKUP(aggregated_results!B194,representatives_list!A:D,4,FALSE)</f>
        <v>c.89.1</v>
      </c>
    </row>
    <row r="195" spans="1:17" x14ac:dyDescent="0.25">
      <c r="A195" t="s">
        <v>49</v>
      </c>
      <c r="B195" t="s">
        <v>25</v>
      </c>
      <c r="C195">
        <v>3.2</v>
      </c>
      <c r="D195">
        <v>6</v>
      </c>
      <c r="E195">
        <v>82</v>
      </c>
      <c r="F195">
        <v>745</v>
      </c>
      <c r="G195">
        <v>11</v>
      </c>
      <c r="I195" t="e">
        <f t="shared" ref="I195:I258" si="3">IF(_xlfn.TEXTBEFORE(J195,".",2,0,1)=_xlfn.TEXTBEFORE(Q195,".",2,0,1),"x","")</f>
        <v>#N/A</v>
      </c>
      <c r="J195" t="str">
        <f>VLOOKUP(aggregated_results!A195,representatives_list!A:D,4,FALSE)</f>
        <v>N/A</v>
      </c>
      <c r="K195" t="str">
        <f>VLOOKUP(aggregated_results!A195,representatives_list!A:D,3,FALSE)</f>
        <v>PPi</v>
      </c>
      <c r="L195" t="str">
        <f>VLOOKUP(aggregated_results!A195,representatives_list!A:E,5,FALSE)</f>
        <v>ABG(–)</v>
      </c>
      <c r="M195" t="str">
        <f>VLOOKUP(A195,representatives_list!A:B,2,FALSE)</f>
        <v>Influenza RNA-dependent RNA polymerase subunit PB1</v>
      </c>
      <c r="N195" t="str">
        <f>VLOOKUP(B195,representatives_list!A:B,2,FALSE)</f>
        <v>Carbamate kinase-like</v>
      </c>
      <c r="O195" t="str">
        <f>VLOOKUP(aggregated_results!B195,representatives_list!A:E,5,FALSE)</f>
        <v>ABG(+)</v>
      </c>
      <c r="P195" t="str">
        <f>VLOOKUP(aggregated_results!B195,representatives_list!A:D,3,FALSE)</f>
        <v>Pi</v>
      </c>
      <c r="Q195" t="str">
        <f>VLOOKUP(aggregated_results!B195,representatives_list!A:D,4,FALSE)</f>
        <v>c.73.1</v>
      </c>
    </row>
    <row r="196" spans="1:17" x14ac:dyDescent="0.25">
      <c r="A196" t="s">
        <v>23</v>
      </c>
      <c r="B196" t="s">
        <v>41</v>
      </c>
      <c r="C196">
        <v>3.2</v>
      </c>
      <c r="D196">
        <v>3.7</v>
      </c>
      <c r="E196">
        <v>83</v>
      </c>
      <c r="F196">
        <v>307</v>
      </c>
      <c r="G196">
        <v>12</v>
      </c>
      <c r="I196" t="str">
        <f t="shared" si="3"/>
        <v/>
      </c>
      <c r="J196" t="str">
        <f>VLOOKUP(aggregated_results!A196,representatives_list!A:D,4,FALSE)</f>
        <v>c.72.2</v>
      </c>
      <c r="K196" t="str">
        <f>VLOOKUP(aggregated_results!A196,representatives_list!A:D,3,FALSE)</f>
        <v>Pi</v>
      </c>
      <c r="L196" t="str">
        <f>VLOOKUP(aggregated_results!A196,representatives_list!A:E,5,FALSE)</f>
        <v>BG(–)</v>
      </c>
      <c r="M196" t="str">
        <f>VLOOKUP(A196,representatives_list!A:B,2,FALSE)</f>
        <v>MurD-like peptide ligases, catalytic domain</v>
      </c>
      <c r="N196" t="str">
        <f>VLOOKUP(B196,representatives_list!A:B,2,FALSE)</f>
        <v>Molybdenum cofactor biosynthesis proteins</v>
      </c>
      <c r="O196" t="str">
        <f>VLOOKUP(aggregated_results!B196,representatives_list!A:E,5,FALSE)</f>
        <v>ABG(–)</v>
      </c>
      <c r="P196" t="str">
        <f>VLOOKUP(aggregated_results!B196,representatives_list!A:D,3,FALSE)</f>
        <v>Pi</v>
      </c>
      <c r="Q196" t="str">
        <f>VLOOKUP(aggregated_results!B196,representatives_list!A:D,4,FALSE)</f>
        <v>c.57.1</v>
      </c>
    </row>
    <row r="197" spans="1:17" x14ac:dyDescent="0.25">
      <c r="A197" t="s">
        <v>81</v>
      </c>
      <c r="B197" t="s">
        <v>32</v>
      </c>
      <c r="C197">
        <v>3.2</v>
      </c>
      <c r="D197">
        <v>2.7</v>
      </c>
      <c r="E197">
        <v>83</v>
      </c>
      <c r="F197">
        <v>277</v>
      </c>
      <c r="G197">
        <v>10</v>
      </c>
      <c r="I197" t="str">
        <f t="shared" si="3"/>
        <v/>
      </c>
      <c r="J197" t="str">
        <f>VLOOKUP(aggregated_results!A197,representatives_list!A:D,4,FALSE)</f>
        <v>c.68.1</v>
      </c>
      <c r="K197" t="str">
        <f>VLOOKUP(aggregated_results!A197,representatives_list!A:D,3,FALSE)</f>
        <v>PPi</v>
      </c>
      <c r="L197" t="str">
        <f>VLOOKUP(aggregated_results!A197,representatives_list!A:E,5,FALSE)</f>
        <v>ABG(+)</v>
      </c>
      <c r="M197" t="str">
        <f>VLOOKUP(A197,representatives_list!A:B,2,FALSE)</f>
        <v>Nucleotide-diphospho-sugar transferases</v>
      </c>
      <c r="N197" t="str">
        <f>VLOOKUP(B197,representatives_list!A:B,2,FALSE)</f>
        <v>Phosphoenolpyruvate/pyruvate domain</v>
      </c>
      <c r="O197" t="str">
        <f>VLOOKUP(aggregated_results!B197,representatives_list!A:E,5,FALSE)</f>
        <v>ABG(–)</v>
      </c>
      <c r="P197" t="str">
        <f>VLOOKUP(aggregated_results!B197,representatives_list!A:D,3,FALSE)</f>
        <v>Pi</v>
      </c>
      <c r="Q197" t="str">
        <f>VLOOKUP(aggregated_results!B197,representatives_list!A:D,4,FALSE)</f>
        <v>c.1.12</v>
      </c>
    </row>
    <row r="198" spans="1:17" x14ac:dyDescent="0.25">
      <c r="A198" t="s">
        <v>52</v>
      </c>
      <c r="B198" t="s">
        <v>25</v>
      </c>
      <c r="C198">
        <v>3.2</v>
      </c>
      <c r="D198">
        <v>6.1</v>
      </c>
      <c r="E198">
        <v>77</v>
      </c>
      <c r="F198">
        <v>304</v>
      </c>
      <c r="G198">
        <v>10</v>
      </c>
      <c r="I198" t="str">
        <f t="shared" si="3"/>
        <v/>
      </c>
      <c r="J198" t="str">
        <f>VLOOKUP(aggregated_results!A198,representatives_list!A:D,4,FALSE)</f>
        <v>d.79.4</v>
      </c>
      <c r="K198" t="str">
        <f>VLOOKUP(aggregated_results!A198,representatives_list!A:D,3,FALSE)</f>
        <v>Pi</v>
      </c>
      <c r="L198" t="str">
        <f>VLOOKUP(aggregated_results!A198,representatives_list!A:E,5,FALSE)</f>
        <v>ABG(+)</v>
      </c>
      <c r="M198" t="str">
        <f>VLOOKUP(A198,representatives_list!A:B,2,FALSE)</f>
        <v>PurM N-terminal domain-like</v>
      </c>
      <c r="N198" t="str">
        <f>VLOOKUP(B198,representatives_list!A:B,2,FALSE)</f>
        <v>Carbamate kinase-like</v>
      </c>
      <c r="O198" t="str">
        <f>VLOOKUP(aggregated_results!B198,representatives_list!A:E,5,FALSE)</f>
        <v>ABG(+)</v>
      </c>
      <c r="P198" t="str">
        <f>VLOOKUP(aggregated_results!B198,representatives_list!A:D,3,FALSE)</f>
        <v>Pi</v>
      </c>
      <c r="Q198" t="str">
        <f>VLOOKUP(aggregated_results!B198,representatives_list!A:D,4,FALSE)</f>
        <v>c.73.1</v>
      </c>
    </row>
    <row r="199" spans="1:17" x14ac:dyDescent="0.25">
      <c r="A199" t="s">
        <v>33</v>
      </c>
      <c r="B199" t="s">
        <v>35</v>
      </c>
      <c r="C199">
        <v>3.2</v>
      </c>
      <c r="D199">
        <v>5.2</v>
      </c>
      <c r="E199">
        <v>97</v>
      </c>
      <c r="F199">
        <v>530</v>
      </c>
      <c r="G199">
        <v>9</v>
      </c>
      <c r="I199" t="str">
        <f t="shared" si="3"/>
        <v/>
      </c>
      <c r="J199" t="str">
        <f>VLOOKUP(aggregated_results!A199,representatives_list!A:D,4,FALSE)</f>
        <v>e.23.1</v>
      </c>
      <c r="K199" t="str">
        <f>VLOOKUP(aggregated_results!A199,representatives_list!A:D,3,FALSE)</f>
        <v>PPi</v>
      </c>
      <c r="L199" t="str">
        <f>VLOOKUP(aggregated_results!A199,representatives_list!A:E,5,FALSE)</f>
        <v>BG(+)</v>
      </c>
      <c r="M199" t="str">
        <f>VLOOKUP(A199,representatives_list!A:B,2,FALSE)</f>
        <v>Acetyl-CoA synthetase-like</v>
      </c>
      <c r="N199" t="str">
        <f>VLOOKUP(B199,representatives_list!A:B,2,FALSE)</f>
        <v>Phosphoglycerate kinase</v>
      </c>
      <c r="O199" t="str">
        <f>VLOOKUP(aggregated_results!B199,representatives_list!A:E,5,FALSE)</f>
        <v>ABG(–)</v>
      </c>
      <c r="P199" t="str">
        <f>VLOOKUP(aggregated_results!B199,representatives_list!A:D,3,FALSE)</f>
        <v>Pi</v>
      </c>
      <c r="Q199" t="str">
        <f>VLOOKUP(aggregated_results!B199,representatives_list!A:D,4,FALSE)</f>
        <v>c.86.1</v>
      </c>
    </row>
    <row r="200" spans="1:17" x14ac:dyDescent="0.25">
      <c r="A200" t="s">
        <v>58</v>
      </c>
      <c r="B200" t="s">
        <v>51</v>
      </c>
      <c r="C200">
        <v>3.2</v>
      </c>
      <c r="D200">
        <v>5</v>
      </c>
      <c r="E200">
        <v>51</v>
      </c>
      <c r="F200">
        <v>105</v>
      </c>
      <c r="G200">
        <v>8</v>
      </c>
      <c r="I200" t="str">
        <f t="shared" si="3"/>
        <v/>
      </c>
      <c r="J200" t="str">
        <f>VLOOKUP(aggregated_results!A200,representatives_list!A:D,4,FALSE)</f>
        <v>f.62.1</v>
      </c>
      <c r="K200" t="str">
        <f>VLOOKUP(aggregated_results!A200,representatives_list!A:D,3,FALSE)</f>
        <v>Pi</v>
      </c>
      <c r="L200" t="str">
        <f>VLOOKUP(aggregated_results!A200,representatives_list!A:E,5,FALSE)</f>
        <v>BG(–)</v>
      </c>
      <c r="M200" t="str">
        <f>VLOOKUP(A200,representatives_list!A:B,2,FALSE)</f>
        <v>Diacylglycerol kinase (DgkA)-like</v>
      </c>
      <c r="N200" t="str">
        <f>VLOOKUP(B200,representatives_list!A:B,2,FALSE)</f>
        <v>DhaL-like</v>
      </c>
      <c r="O200" t="str">
        <f>VLOOKUP(aggregated_results!B200,representatives_list!A:E,5,FALSE)</f>
        <v>BG(–)</v>
      </c>
      <c r="P200" t="str">
        <f>VLOOKUP(aggregated_results!B200,representatives_list!A:D,3,FALSE)</f>
        <v>Pi</v>
      </c>
      <c r="Q200" t="str">
        <f>VLOOKUP(aggregated_results!B200,representatives_list!A:D,4,FALSE)</f>
        <v>a.208.1</v>
      </c>
    </row>
    <row r="201" spans="1:17" x14ac:dyDescent="0.25">
      <c r="A201" t="s">
        <v>17</v>
      </c>
      <c r="B201" t="s">
        <v>51</v>
      </c>
      <c r="C201">
        <v>3.2</v>
      </c>
      <c r="D201">
        <v>12.8</v>
      </c>
      <c r="E201">
        <v>102</v>
      </c>
      <c r="F201">
        <v>427</v>
      </c>
      <c r="G201">
        <v>7</v>
      </c>
      <c r="I201" t="str">
        <f t="shared" si="3"/>
        <v/>
      </c>
      <c r="J201" t="str">
        <f>VLOOKUP(aggregated_results!A201,representatives_list!A:D,4,FALSE)</f>
        <v>e.8.1</v>
      </c>
      <c r="K201" t="str">
        <f>VLOOKUP(aggregated_results!A201,representatives_list!A:D,3,FALSE)</f>
        <v>PPi</v>
      </c>
      <c r="L201" t="str">
        <f>VLOOKUP(aggregated_results!A201,representatives_list!A:E,5,FALSE)</f>
        <v>ABG(–)</v>
      </c>
      <c r="M201" t="str">
        <f>VLOOKUP(A201,representatives_list!A:B,2,FALSE)</f>
        <v>DNA/RNA polymerases</v>
      </c>
      <c r="N201" t="str">
        <f>VLOOKUP(B201,representatives_list!A:B,2,FALSE)</f>
        <v>DhaL-like</v>
      </c>
      <c r="O201" t="str">
        <f>VLOOKUP(aggregated_results!B201,representatives_list!A:E,5,FALSE)</f>
        <v>BG(–)</v>
      </c>
      <c r="P201" t="str">
        <f>VLOOKUP(aggregated_results!B201,representatives_list!A:D,3,FALSE)</f>
        <v>Pi</v>
      </c>
      <c r="Q201" t="str">
        <f>VLOOKUP(aggregated_results!B201,representatives_list!A:D,4,FALSE)</f>
        <v>a.208.1</v>
      </c>
    </row>
    <row r="202" spans="1:17" x14ac:dyDescent="0.25">
      <c r="A202" t="s">
        <v>48</v>
      </c>
      <c r="B202" t="s">
        <v>24</v>
      </c>
      <c r="C202">
        <v>3.2</v>
      </c>
      <c r="D202">
        <v>5.9</v>
      </c>
      <c r="E202">
        <v>127</v>
      </c>
      <c r="F202">
        <v>994</v>
      </c>
      <c r="G202">
        <v>6</v>
      </c>
      <c r="I202" t="str">
        <f t="shared" si="3"/>
        <v/>
      </c>
      <c r="J202" t="str">
        <f>VLOOKUP(aggregated_results!A202,representatives_list!A:D,4,FALSE)</f>
        <v>d.220.1</v>
      </c>
      <c r="K202" t="str">
        <f>VLOOKUP(aggregated_results!A202,representatives_list!A:D,3,FALSE)</f>
        <v>Pi</v>
      </c>
      <c r="L202" t="str">
        <f>VLOOKUP(aggregated_results!A202,representatives_list!A:E,5,FALSE)</f>
        <v>BG(–)</v>
      </c>
      <c r="M202" t="str">
        <f>VLOOKUP(A202,representatives_list!A:B,2,FALSE)</f>
        <v>Metal cation-transporting ATPase, ATP-binding domain N</v>
      </c>
      <c r="N202" t="str">
        <f>VLOOKUP(B202,representatives_list!A:B,2,FALSE)</f>
        <v>Ribokinase-like</v>
      </c>
      <c r="O202" t="str">
        <f>VLOOKUP(aggregated_results!B202,representatives_list!A:E,5,FALSE)</f>
        <v>BG(–)</v>
      </c>
      <c r="P202" t="str">
        <f>VLOOKUP(aggregated_results!B202,representatives_list!A:D,3,FALSE)</f>
        <v>Pi</v>
      </c>
      <c r="Q202" t="str">
        <f>VLOOKUP(aggregated_results!B202,representatives_list!A:D,4,FALSE)</f>
        <v>c.72.1</v>
      </c>
    </row>
    <row r="203" spans="1:17" x14ac:dyDescent="0.25">
      <c r="A203" t="s">
        <v>46</v>
      </c>
      <c r="B203" t="s">
        <v>27</v>
      </c>
      <c r="C203">
        <v>3.2</v>
      </c>
      <c r="D203">
        <v>3.5</v>
      </c>
      <c r="E203">
        <v>112</v>
      </c>
      <c r="F203">
        <v>253</v>
      </c>
      <c r="G203">
        <v>7</v>
      </c>
      <c r="I203" t="e">
        <f t="shared" si="3"/>
        <v>#N/A</v>
      </c>
      <c r="J203" t="str">
        <f>VLOOKUP(aggregated_results!A203,representatives_list!A:D,4,FALSE)</f>
        <v>N/A</v>
      </c>
      <c r="K203" t="str">
        <f>VLOOKUP(aggregated_results!A203,representatives_list!A:D,3,FALSE)</f>
        <v>PPi</v>
      </c>
      <c r="L203" t="str">
        <f>VLOOKUP(aggregated_results!A203,representatives_list!A:E,5,FALSE)</f>
        <v>ABG(+)</v>
      </c>
      <c r="M203" t="str">
        <f>VLOOKUP(A203,representatives_list!A:B,2,FALSE)</f>
        <v>Phosphopantoate/pantothenate synthetase superfamily</v>
      </c>
      <c r="N203" t="str">
        <f>VLOOKUP(B203,representatives_list!A:B,2,FALSE)</f>
        <v>CoaB-like</v>
      </c>
      <c r="O203" t="str">
        <f>VLOOKUP(aggregated_results!B203,representatives_list!A:E,5,FALSE)</f>
        <v>ABG(–)</v>
      </c>
      <c r="P203" t="str">
        <f>VLOOKUP(aggregated_results!B203,representatives_list!A:D,3,FALSE)</f>
        <v>PPi</v>
      </c>
      <c r="Q203" t="str">
        <f>VLOOKUP(aggregated_results!B203,representatives_list!A:D,4,FALSE)</f>
        <v>c.72.3</v>
      </c>
    </row>
    <row r="204" spans="1:17" x14ac:dyDescent="0.25">
      <c r="A204" t="s">
        <v>66</v>
      </c>
      <c r="B204" t="s">
        <v>60</v>
      </c>
      <c r="C204">
        <v>3.2</v>
      </c>
      <c r="D204">
        <v>4</v>
      </c>
      <c r="E204">
        <v>96</v>
      </c>
      <c r="F204">
        <v>146</v>
      </c>
      <c r="G204">
        <v>7</v>
      </c>
      <c r="I204" t="e">
        <f t="shared" si="3"/>
        <v>#N/A</v>
      </c>
      <c r="J204" t="str">
        <f>VLOOKUP(aggregated_results!A204,representatives_list!A:D,4,FALSE)</f>
        <v>d.58.21</v>
      </c>
      <c r="K204" t="str">
        <f>VLOOKUP(aggregated_results!A204,representatives_list!A:D,3,FALSE)</f>
        <v>PPi</v>
      </c>
      <c r="L204" t="str">
        <f>VLOOKUP(aggregated_results!A204,representatives_list!A:E,5,FALSE)</f>
        <v>N/A</v>
      </c>
      <c r="M204" t="str">
        <f>VLOOKUP(A204,representatives_list!A:B,2,FALSE)</f>
        <v>Molybdenum cofactor biosynthesis protein C, MoaC</v>
      </c>
      <c r="N204" t="str">
        <f>VLOOKUP(B204,representatives_list!A:B,2,FALSE)</f>
        <v>Virion DNA-directed RNA polymerase domain</v>
      </c>
      <c r="O204" t="str">
        <f>VLOOKUP(aggregated_results!B204,representatives_list!A:E,5,FALSE)</f>
        <v>ABG(+)</v>
      </c>
      <c r="P204" t="str">
        <f>VLOOKUP(aggregated_results!B204,representatives_list!A:D,3,FALSE)</f>
        <v>PPi</v>
      </c>
      <c r="Q204" t="str">
        <f>VLOOKUP(aggregated_results!B204,representatives_list!A:D,4,FALSE)</f>
        <v>N/A</v>
      </c>
    </row>
    <row r="205" spans="1:17" x14ac:dyDescent="0.25">
      <c r="A205" t="s">
        <v>67</v>
      </c>
      <c r="B205" t="s">
        <v>23</v>
      </c>
      <c r="C205">
        <v>3.2</v>
      </c>
      <c r="D205">
        <v>3.9</v>
      </c>
      <c r="E205">
        <v>92</v>
      </c>
      <c r="F205">
        <v>255</v>
      </c>
      <c r="G205">
        <v>11</v>
      </c>
      <c r="I205" t="str">
        <f t="shared" si="3"/>
        <v/>
      </c>
      <c r="J205" t="str">
        <f>VLOOKUP(aggregated_results!A205,representatives_list!A:D,4,FALSE)</f>
        <v>c.100.1</v>
      </c>
      <c r="K205" t="str">
        <f>VLOOKUP(aggregated_results!A205,representatives_list!A:D,3,FALSE)</f>
        <v>PPi</v>
      </c>
      <c r="L205" t="str">
        <f>VLOOKUP(aggregated_results!A205,representatives_list!A:E,5,FALSE)</f>
        <v>AG</v>
      </c>
      <c r="M205" t="str">
        <f>VLOOKUP(A205,representatives_list!A:B,2,FALSE)</f>
        <v>Thiamin pyrophosphokinase, catalytic domain</v>
      </c>
      <c r="N205" t="str">
        <f>VLOOKUP(B205,representatives_list!A:B,2,FALSE)</f>
        <v>MurD-like peptide ligases, catalytic domain</v>
      </c>
      <c r="O205" t="str">
        <f>VLOOKUP(aggregated_results!B205,representatives_list!A:E,5,FALSE)</f>
        <v>BG(–)</v>
      </c>
      <c r="P205" t="str">
        <f>VLOOKUP(aggregated_results!B205,representatives_list!A:D,3,FALSE)</f>
        <v>Pi</v>
      </c>
      <c r="Q205" t="str">
        <f>VLOOKUP(aggregated_results!B205,representatives_list!A:D,4,FALSE)</f>
        <v>c.72.2</v>
      </c>
    </row>
    <row r="206" spans="1:17" x14ac:dyDescent="0.25">
      <c r="A206" t="s">
        <v>64</v>
      </c>
      <c r="B206" t="s">
        <v>34</v>
      </c>
      <c r="C206">
        <v>3.2</v>
      </c>
      <c r="D206">
        <v>3.2</v>
      </c>
      <c r="E206">
        <v>124</v>
      </c>
      <c r="F206">
        <v>412</v>
      </c>
      <c r="G206">
        <v>9</v>
      </c>
      <c r="I206" t="str">
        <f t="shared" si="3"/>
        <v/>
      </c>
      <c r="J206" t="str">
        <f>VLOOKUP(aggregated_results!A206,representatives_list!A:D,4,FALSE)</f>
        <v>c.146.1</v>
      </c>
      <c r="K206" t="str">
        <f>VLOOKUP(aggregated_results!A206,representatives_list!A:D,3,FALSE)</f>
        <v>Pi</v>
      </c>
      <c r="L206" t="str">
        <f>VLOOKUP(aggregated_results!A206,representatives_list!A:E,5,FALSE)</f>
        <v>N/A</v>
      </c>
      <c r="M206" t="str">
        <f>VLOOKUP(A206,representatives_list!A:B,2,FALSE)</f>
        <v>YgbK-like</v>
      </c>
      <c r="N206" t="str">
        <f>VLOOKUP(B206,representatives_list!A:B,2,FALSE)</f>
        <v>Tubulin nucleotide-binding domain-like</v>
      </c>
      <c r="O206" t="str">
        <f>VLOOKUP(aggregated_results!B206,representatives_list!A:E,5,FALSE)</f>
        <v>BG(–)</v>
      </c>
      <c r="P206" t="str">
        <f>VLOOKUP(aggregated_results!B206,representatives_list!A:D,3,FALSE)</f>
        <v>Pi</v>
      </c>
      <c r="Q206" t="str">
        <f>VLOOKUP(aggregated_results!B206,representatives_list!A:D,4,FALSE)</f>
        <v>c.32.1</v>
      </c>
    </row>
    <row r="207" spans="1:17" x14ac:dyDescent="0.25">
      <c r="A207" t="s">
        <v>64</v>
      </c>
      <c r="B207" t="s">
        <v>24</v>
      </c>
      <c r="C207">
        <v>3.2</v>
      </c>
      <c r="D207">
        <v>4.2</v>
      </c>
      <c r="E207">
        <v>128</v>
      </c>
      <c r="F207">
        <v>412</v>
      </c>
      <c r="G207">
        <v>9</v>
      </c>
      <c r="I207" t="str">
        <f t="shared" si="3"/>
        <v/>
      </c>
      <c r="J207" t="str">
        <f>VLOOKUP(aggregated_results!A207,representatives_list!A:D,4,FALSE)</f>
        <v>c.146.1</v>
      </c>
      <c r="K207" t="str">
        <f>VLOOKUP(aggregated_results!A207,representatives_list!A:D,3,FALSE)</f>
        <v>Pi</v>
      </c>
      <c r="L207" t="str">
        <f>VLOOKUP(aggregated_results!A207,representatives_list!A:E,5,FALSE)</f>
        <v>N/A</v>
      </c>
      <c r="M207" t="str">
        <f>VLOOKUP(A207,representatives_list!A:B,2,FALSE)</f>
        <v>YgbK-like</v>
      </c>
      <c r="N207" t="str">
        <f>VLOOKUP(B207,representatives_list!A:B,2,FALSE)</f>
        <v>Ribokinase-like</v>
      </c>
      <c r="O207" t="str">
        <f>VLOOKUP(aggregated_results!B207,representatives_list!A:E,5,FALSE)</f>
        <v>BG(–)</v>
      </c>
      <c r="P207" t="str">
        <f>VLOOKUP(aggregated_results!B207,representatives_list!A:D,3,FALSE)</f>
        <v>Pi</v>
      </c>
      <c r="Q207" t="str">
        <f>VLOOKUP(aggregated_results!B207,representatives_list!A:D,4,FALSE)</f>
        <v>c.72.1</v>
      </c>
    </row>
    <row r="208" spans="1:17" x14ac:dyDescent="0.25">
      <c r="A208" t="s">
        <v>18</v>
      </c>
      <c r="B208" t="s">
        <v>47</v>
      </c>
      <c r="C208">
        <v>3.2</v>
      </c>
      <c r="D208">
        <v>3.4</v>
      </c>
      <c r="E208">
        <v>83</v>
      </c>
      <c r="F208">
        <v>192</v>
      </c>
      <c r="G208">
        <v>10</v>
      </c>
      <c r="I208" t="str">
        <f t="shared" si="3"/>
        <v>x</v>
      </c>
      <c r="J208" t="str">
        <f>VLOOKUP(aggregated_results!A208,representatives_list!A:D,4,FALSE)</f>
        <v>d.58.29</v>
      </c>
      <c r="K208" t="str">
        <f>VLOOKUP(aggregated_results!A208,representatives_list!A:D,3,FALSE)</f>
        <v>PPi</v>
      </c>
      <c r="L208" t="str">
        <f>VLOOKUP(aggregated_results!A208,representatives_list!A:E,5,FALSE)</f>
        <v>ABG(–)</v>
      </c>
      <c r="M208" t="str">
        <f>VLOOKUP(A208,representatives_list!A:B,2,FALSE)</f>
        <v>Nucleotide cyclase</v>
      </c>
      <c r="N208" t="str">
        <f>VLOOKUP(B208,representatives_list!A:B,2,FALSE)</f>
        <v>6-hydroxymethyl-7,8-dihydropterin pyrophosphokinase, HPPK</v>
      </c>
      <c r="O208" t="str">
        <f>VLOOKUP(aggregated_results!B208,representatives_list!A:E,5,FALSE)</f>
        <v>AB(+)</v>
      </c>
      <c r="P208" t="str">
        <f>VLOOKUP(aggregated_results!B208,representatives_list!A:D,3,FALSE)</f>
        <v>PPi</v>
      </c>
      <c r="Q208" t="str">
        <f>VLOOKUP(aggregated_results!B208,representatives_list!A:D,4,FALSE)</f>
        <v>d.58.30</v>
      </c>
    </row>
    <row r="209" spans="1:17" x14ac:dyDescent="0.25">
      <c r="A209" t="s">
        <v>30</v>
      </c>
      <c r="B209" t="s">
        <v>37</v>
      </c>
      <c r="C209">
        <v>3.2</v>
      </c>
      <c r="D209">
        <v>3.6</v>
      </c>
      <c r="E209">
        <v>110</v>
      </c>
      <c r="F209">
        <v>371</v>
      </c>
      <c r="G209">
        <v>11</v>
      </c>
      <c r="I209" t="str">
        <f t="shared" si="3"/>
        <v/>
      </c>
      <c r="J209" t="str">
        <f>VLOOKUP(aggregated_results!A209,representatives_list!A:D,4,FALSE)</f>
        <v>c.141.1</v>
      </c>
      <c r="K209" t="str">
        <f>VLOOKUP(aggregated_results!A209,representatives_list!A:D,3,FALSE)</f>
        <v>Pi</v>
      </c>
      <c r="L209" t="str">
        <f>VLOOKUP(aggregated_results!A209,representatives_list!A:E,5,FALSE)</f>
        <v>N/A</v>
      </c>
      <c r="M209" t="str">
        <f>VLOOKUP(A209,representatives_list!A:B,2,FALSE)</f>
        <v>Glycerate kinase I</v>
      </c>
      <c r="N209" t="str">
        <f>VLOOKUP(B209,representatives_list!A:B,2,FALSE)</f>
        <v>Phosphofructokinase</v>
      </c>
      <c r="O209" t="str">
        <f>VLOOKUP(aggregated_results!B209,representatives_list!A:E,5,FALSE)</f>
        <v>ABG(–)</v>
      </c>
      <c r="P209" t="str">
        <f>VLOOKUP(aggregated_results!B209,representatives_list!A:D,3,FALSE)</f>
        <v>Pi</v>
      </c>
      <c r="Q209" t="str">
        <f>VLOOKUP(aggregated_results!B209,representatives_list!A:D,4,FALSE)</f>
        <v>c.89.1</v>
      </c>
    </row>
    <row r="210" spans="1:17" x14ac:dyDescent="0.25">
      <c r="A210" t="s">
        <v>30</v>
      </c>
      <c r="B210" t="s">
        <v>35</v>
      </c>
      <c r="C210">
        <v>3.2</v>
      </c>
      <c r="D210">
        <v>3.6</v>
      </c>
      <c r="E210">
        <v>91</v>
      </c>
      <c r="F210">
        <v>371</v>
      </c>
      <c r="G210">
        <v>9</v>
      </c>
      <c r="I210" t="str">
        <f t="shared" si="3"/>
        <v/>
      </c>
      <c r="J210" t="str">
        <f>VLOOKUP(aggregated_results!A210,representatives_list!A:D,4,FALSE)</f>
        <v>c.141.1</v>
      </c>
      <c r="K210" t="str">
        <f>VLOOKUP(aggregated_results!A210,representatives_list!A:D,3,FALSE)</f>
        <v>Pi</v>
      </c>
      <c r="L210" t="str">
        <f>VLOOKUP(aggregated_results!A210,representatives_list!A:E,5,FALSE)</f>
        <v>N/A</v>
      </c>
      <c r="M210" t="str">
        <f>VLOOKUP(A210,representatives_list!A:B,2,FALSE)</f>
        <v>Glycerate kinase I</v>
      </c>
      <c r="N210" t="str">
        <f>VLOOKUP(B210,representatives_list!A:B,2,FALSE)</f>
        <v>Phosphoglycerate kinase</v>
      </c>
      <c r="O210" t="str">
        <f>VLOOKUP(aggregated_results!B210,representatives_list!A:E,5,FALSE)</f>
        <v>ABG(–)</v>
      </c>
      <c r="P210" t="str">
        <f>VLOOKUP(aggregated_results!B210,representatives_list!A:D,3,FALSE)</f>
        <v>Pi</v>
      </c>
      <c r="Q210" t="str">
        <f>VLOOKUP(aggregated_results!B210,representatives_list!A:D,4,FALSE)</f>
        <v>c.86.1</v>
      </c>
    </row>
    <row r="211" spans="1:17" x14ac:dyDescent="0.25">
      <c r="A211" t="s">
        <v>29</v>
      </c>
      <c r="B211" t="s">
        <v>37</v>
      </c>
      <c r="C211">
        <v>3.1</v>
      </c>
      <c r="D211">
        <v>4.3</v>
      </c>
      <c r="E211">
        <v>116</v>
      </c>
      <c r="F211">
        <v>309</v>
      </c>
      <c r="G211">
        <v>9</v>
      </c>
      <c r="I211" t="str">
        <f t="shared" si="3"/>
        <v/>
      </c>
      <c r="J211" t="str">
        <f>VLOOKUP(aggregated_results!A211,representatives_list!A:D,4,FALSE)</f>
        <v>c.61.1</v>
      </c>
      <c r="K211" t="str">
        <f>VLOOKUP(aggregated_results!A211,representatives_list!A:D,3,FALSE)</f>
        <v>PPi</v>
      </c>
      <c r="L211" t="str">
        <f>VLOOKUP(aggregated_results!A211,representatives_list!A:E,5,FALSE)</f>
        <v>ABG(+)</v>
      </c>
      <c r="M211" t="str">
        <f>VLOOKUP(A211,representatives_list!A:B,2,FALSE)</f>
        <v>PRTase-like</v>
      </c>
      <c r="N211" t="str">
        <f>VLOOKUP(B211,representatives_list!A:B,2,FALSE)</f>
        <v>Phosphofructokinase</v>
      </c>
      <c r="O211" t="str">
        <f>VLOOKUP(aggregated_results!B211,representatives_list!A:E,5,FALSE)</f>
        <v>ABG(–)</v>
      </c>
      <c r="P211" t="str">
        <f>VLOOKUP(aggregated_results!B211,representatives_list!A:D,3,FALSE)</f>
        <v>Pi</v>
      </c>
      <c r="Q211" t="str">
        <f>VLOOKUP(aggregated_results!B211,representatives_list!A:D,4,FALSE)</f>
        <v>c.89.1</v>
      </c>
    </row>
    <row r="212" spans="1:17" x14ac:dyDescent="0.25">
      <c r="A212" t="s">
        <v>29</v>
      </c>
      <c r="B212" t="s">
        <v>73</v>
      </c>
      <c r="C212">
        <v>3.1</v>
      </c>
      <c r="D212">
        <v>4.5</v>
      </c>
      <c r="E212">
        <v>110</v>
      </c>
      <c r="F212">
        <v>309</v>
      </c>
      <c r="G212">
        <v>11</v>
      </c>
      <c r="I212" t="str">
        <f t="shared" si="3"/>
        <v/>
      </c>
      <c r="J212" t="str">
        <f>VLOOKUP(aggregated_results!A212,representatives_list!A:D,4,FALSE)</f>
        <v>c.61.1</v>
      </c>
      <c r="K212" t="str">
        <f>VLOOKUP(aggregated_results!A212,representatives_list!A:D,3,FALSE)</f>
        <v>PPi</v>
      </c>
      <c r="L212" t="str">
        <f>VLOOKUP(aggregated_results!A212,representatives_list!A:E,5,FALSE)</f>
        <v>ABG(+)</v>
      </c>
      <c r="M212" t="str">
        <f>VLOOKUP(A212,representatives_list!A:B,2,FALSE)</f>
        <v>PRTase-like</v>
      </c>
      <c r="N212" t="str">
        <f>VLOOKUP(B212,representatives_list!A:B,2,FALSE)</f>
        <v>Adenine nucleotide alpha hydrolases-like</v>
      </c>
      <c r="O212" t="str">
        <f>VLOOKUP(aggregated_results!B212,representatives_list!A:E,5,FALSE)</f>
        <v>ABG(+)</v>
      </c>
      <c r="P212" t="str">
        <f>VLOOKUP(aggregated_results!B212,representatives_list!A:D,3,FALSE)</f>
        <v>PPi</v>
      </c>
      <c r="Q212" t="str">
        <f>VLOOKUP(aggregated_results!B212,representatives_list!A:D,4,FALSE)</f>
        <v>c.26.2</v>
      </c>
    </row>
    <row r="213" spans="1:17" x14ac:dyDescent="0.25">
      <c r="A213" t="s">
        <v>68</v>
      </c>
      <c r="B213" t="s">
        <v>48</v>
      </c>
      <c r="C213">
        <v>3.1</v>
      </c>
      <c r="D213">
        <v>13.6</v>
      </c>
      <c r="E213">
        <v>78</v>
      </c>
      <c r="F213">
        <v>110</v>
      </c>
      <c r="G213">
        <v>9</v>
      </c>
      <c r="I213" t="str">
        <f t="shared" si="3"/>
        <v/>
      </c>
      <c r="J213" t="str">
        <f>VLOOKUP(aggregated_results!A213,representatives_list!A:D,4,FALSE)</f>
        <v>a.204.1</v>
      </c>
      <c r="K213" t="str">
        <f>VLOOKUP(aggregated_results!A213,representatives_list!A:D,3,FALSE)</f>
        <v>PPi</v>
      </c>
      <c r="L213" t="str">
        <f>VLOOKUP(aggregated_results!A213,representatives_list!A:E,5,FALSE)</f>
        <v>ABG(+)</v>
      </c>
      <c r="M213" t="str">
        <f>VLOOKUP(A213,representatives_list!A:B,2,FALSE)</f>
        <v>all-alpha NTP pyrophosphatases</v>
      </c>
      <c r="N213" t="str">
        <f>VLOOKUP(B213,representatives_list!A:B,2,FALSE)</f>
        <v>Metal cation-transporting ATPase, ATP-binding domain N</v>
      </c>
      <c r="O213" t="str">
        <f>VLOOKUP(aggregated_results!B213,representatives_list!A:E,5,FALSE)</f>
        <v>BG(–)</v>
      </c>
      <c r="P213" t="str">
        <f>VLOOKUP(aggregated_results!B213,representatives_list!A:D,3,FALSE)</f>
        <v>Pi</v>
      </c>
      <c r="Q213" t="str">
        <f>VLOOKUP(aggregated_results!B213,representatives_list!A:D,4,FALSE)</f>
        <v>d.220.1</v>
      </c>
    </row>
    <row r="214" spans="1:17" x14ac:dyDescent="0.25">
      <c r="A214" t="s">
        <v>68</v>
      </c>
      <c r="B214" t="s">
        <v>51</v>
      </c>
      <c r="C214">
        <v>3.1</v>
      </c>
      <c r="D214">
        <v>10.8</v>
      </c>
      <c r="E214">
        <v>60</v>
      </c>
      <c r="F214">
        <v>110</v>
      </c>
      <c r="G214">
        <v>5</v>
      </c>
      <c r="I214" t="str">
        <f t="shared" si="3"/>
        <v/>
      </c>
      <c r="J214" t="str">
        <f>VLOOKUP(aggregated_results!A214,representatives_list!A:D,4,FALSE)</f>
        <v>a.204.1</v>
      </c>
      <c r="K214" t="str">
        <f>VLOOKUP(aggregated_results!A214,representatives_list!A:D,3,FALSE)</f>
        <v>PPi</v>
      </c>
      <c r="L214" t="str">
        <f>VLOOKUP(aggregated_results!A214,representatives_list!A:E,5,FALSE)</f>
        <v>ABG(+)</v>
      </c>
      <c r="M214" t="str">
        <f>VLOOKUP(A214,representatives_list!A:B,2,FALSE)</f>
        <v>all-alpha NTP pyrophosphatases</v>
      </c>
      <c r="N214" t="str">
        <f>VLOOKUP(B214,representatives_list!A:B,2,FALSE)</f>
        <v>DhaL-like</v>
      </c>
      <c r="O214" t="str">
        <f>VLOOKUP(aggregated_results!B214,representatives_list!A:E,5,FALSE)</f>
        <v>BG(–)</v>
      </c>
      <c r="P214" t="str">
        <f>VLOOKUP(aggregated_results!B214,representatives_list!A:D,3,FALSE)</f>
        <v>Pi</v>
      </c>
      <c r="Q214" t="str">
        <f>VLOOKUP(aggregated_results!B214,representatives_list!A:D,4,FALSE)</f>
        <v>a.208.1</v>
      </c>
    </row>
    <row r="215" spans="1:17" x14ac:dyDescent="0.25">
      <c r="A215" t="s">
        <v>77</v>
      </c>
      <c r="B215" t="s">
        <v>51</v>
      </c>
      <c r="C215">
        <v>3.1</v>
      </c>
      <c r="D215">
        <v>2.9</v>
      </c>
      <c r="E215">
        <v>57</v>
      </c>
      <c r="F215">
        <v>329</v>
      </c>
      <c r="G215">
        <v>14</v>
      </c>
      <c r="I215" t="str">
        <f t="shared" si="3"/>
        <v/>
      </c>
      <c r="J215" t="str">
        <f>VLOOKUP(aggregated_results!A215,representatives_list!A:D,4,FALSE)</f>
        <v>d.218.1</v>
      </c>
      <c r="K215" t="str">
        <f>VLOOKUP(aggregated_results!A215,representatives_list!A:D,3,FALSE)</f>
        <v>PPi</v>
      </c>
      <c r="L215" t="str">
        <f>VLOOKUP(aggregated_results!A215,representatives_list!A:E,5,FALSE)</f>
        <v>ABG(–)</v>
      </c>
      <c r="M215" t="str">
        <f>VLOOKUP(A215,representatives_list!A:B,2,FALSE)</f>
        <v>Nucleotidyltransferase</v>
      </c>
      <c r="N215" t="str">
        <f>VLOOKUP(B215,representatives_list!A:B,2,FALSE)</f>
        <v>DhaL-like</v>
      </c>
      <c r="O215" t="str">
        <f>VLOOKUP(aggregated_results!B215,representatives_list!A:E,5,FALSE)</f>
        <v>BG(–)</v>
      </c>
      <c r="P215" t="str">
        <f>VLOOKUP(aggregated_results!B215,representatives_list!A:D,3,FALSE)</f>
        <v>Pi</v>
      </c>
      <c r="Q215" t="str">
        <f>VLOOKUP(aggregated_results!B215,representatives_list!A:D,4,FALSE)</f>
        <v>a.208.1</v>
      </c>
    </row>
    <row r="216" spans="1:17" x14ac:dyDescent="0.25">
      <c r="A216" t="s">
        <v>65</v>
      </c>
      <c r="B216" t="s">
        <v>68</v>
      </c>
      <c r="C216">
        <v>3.1</v>
      </c>
      <c r="D216">
        <v>4.5</v>
      </c>
      <c r="E216">
        <v>60</v>
      </c>
      <c r="F216">
        <v>178</v>
      </c>
      <c r="G216">
        <v>7</v>
      </c>
      <c r="I216" t="str">
        <f t="shared" si="3"/>
        <v/>
      </c>
      <c r="J216" t="str">
        <f>VLOOKUP(aggregated_results!A216,representatives_list!A:D,4,FALSE)</f>
        <v>a.25.2</v>
      </c>
      <c r="K216" t="str">
        <f>VLOOKUP(aggregated_results!A216,representatives_list!A:D,3,FALSE)</f>
        <v>PPPi</v>
      </c>
      <c r="L216" t="str">
        <f>VLOOKUP(aggregated_results!A216,representatives_list!A:E,5,FALSE)</f>
        <v>ABG(+)</v>
      </c>
      <c r="M216" t="str">
        <f>VLOOKUP(A216,representatives_list!A:B,2,FALSE)</f>
        <v>Cobalamin adenosyltransferase-like</v>
      </c>
      <c r="N216" t="str">
        <f>VLOOKUP(B216,representatives_list!A:B,2,FALSE)</f>
        <v>all-alpha NTP pyrophosphatases</v>
      </c>
      <c r="O216" t="str">
        <f>VLOOKUP(aggregated_results!B216,representatives_list!A:E,5,FALSE)</f>
        <v>ABG(+)</v>
      </c>
      <c r="P216" t="str">
        <f>VLOOKUP(aggregated_results!B216,representatives_list!A:D,3,FALSE)</f>
        <v>PPi</v>
      </c>
      <c r="Q216" t="str">
        <f>VLOOKUP(aggregated_results!B216,representatives_list!A:D,4,FALSE)</f>
        <v>a.204.1</v>
      </c>
    </row>
    <row r="217" spans="1:17" x14ac:dyDescent="0.25">
      <c r="A217" t="s">
        <v>23</v>
      </c>
      <c r="B217" t="s">
        <v>32</v>
      </c>
      <c r="C217">
        <v>3.1</v>
      </c>
      <c r="D217">
        <v>2.9</v>
      </c>
      <c r="E217">
        <v>66</v>
      </c>
      <c r="F217">
        <v>307</v>
      </c>
      <c r="G217">
        <v>11</v>
      </c>
      <c r="I217" t="str">
        <f t="shared" si="3"/>
        <v/>
      </c>
      <c r="J217" t="str">
        <f>VLOOKUP(aggregated_results!A217,representatives_list!A:D,4,FALSE)</f>
        <v>c.72.2</v>
      </c>
      <c r="K217" t="str">
        <f>VLOOKUP(aggregated_results!A217,representatives_list!A:D,3,FALSE)</f>
        <v>Pi</v>
      </c>
      <c r="L217" t="str">
        <f>VLOOKUP(aggregated_results!A217,representatives_list!A:E,5,FALSE)</f>
        <v>BG(–)</v>
      </c>
      <c r="M217" t="str">
        <f>VLOOKUP(A217,representatives_list!A:B,2,FALSE)</f>
        <v>MurD-like peptide ligases, catalytic domain</v>
      </c>
      <c r="N217" t="str">
        <f>VLOOKUP(B217,representatives_list!A:B,2,FALSE)</f>
        <v>Phosphoenolpyruvate/pyruvate domain</v>
      </c>
      <c r="O217" t="str">
        <f>VLOOKUP(aggregated_results!B217,representatives_list!A:E,5,FALSE)</f>
        <v>ABG(–)</v>
      </c>
      <c r="P217" t="str">
        <f>VLOOKUP(aggregated_results!B217,representatives_list!A:D,3,FALSE)</f>
        <v>Pi</v>
      </c>
      <c r="Q217" t="str">
        <f>VLOOKUP(aggregated_results!B217,representatives_list!A:D,4,FALSE)</f>
        <v>c.1.12</v>
      </c>
    </row>
    <row r="218" spans="1:17" x14ac:dyDescent="0.25">
      <c r="A218" t="s">
        <v>17</v>
      </c>
      <c r="B218" t="s">
        <v>31</v>
      </c>
      <c r="C218">
        <v>3.1</v>
      </c>
      <c r="D218">
        <v>5.5</v>
      </c>
      <c r="E218">
        <v>92</v>
      </c>
      <c r="F218">
        <v>427</v>
      </c>
      <c r="G218">
        <v>9</v>
      </c>
      <c r="I218" t="str">
        <f t="shared" si="3"/>
        <v/>
      </c>
      <c r="J218" t="str">
        <f>VLOOKUP(aggregated_results!A218,representatives_list!A:D,4,FALSE)</f>
        <v>e.8.1</v>
      </c>
      <c r="K218" t="str">
        <f>VLOOKUP(aggregated_results!A218,representatives_list!A:D,3,FALSE)</f>
        <v>PPi</v>
      </c>
      <c r="L218" t="str">
        <f>VLOOKUP(aggregated_results!A218,representatives_list!A:E,5,FALSE)</f>
        <v>ABG(–)</v>
      </c>
      <c r="M218" t="str">
        <f>VLOOKUP(A218,representatives_list!A:B,2,FALSE)</f>
        <v>DNA/RNA polymerases</v>
      </c>
      <c r="N218" t="str">
        <f>VLOOKUP(B218,representatives_list!A:B,2,FALSE)</f>
        <v>GHMP Kinase, C-terminal domain</v>
      </c>
      <c r="O218" t="str">
        <f>VLOOKUP(aggregated_results!B218,representatives_list!A:E,5,FALSE)</f>
        <v>ABG(+)</v>
      </c>
      <c r="P218" t="str">
        <f>VLOOKUP(aggregated_results!B218,representatives_list!A:D,3,FALSE)</f>
        <v>Pi</v>
      </c>
      <c r="Q218" t="str">
        <f>VLOOKUP(aggregated_results!B218,representatives_list!A:D,4,FALSE)</f>
        <v>d.58.26</v>
      </c>
    </row>
    <row r="219" spans="1:17" x14ac:dyDescent="0.25">
      <c r="A219" t="s">
        <v>60</v>
      </c>
      <c r="B219" t="s">
        <v>31</v>
      </c>
      <c r="C219">
        <v>3.1</v>
      </c>
      <c r="D219">
        <v>11.5</v>
      </c>
      <c r="E219">
        <v>135</v>
      </c>
      <c r="F219">
        <v>1095</v>
      </c>
      <c r="G219">
        <v>6</v>
      </c>
      <c r="I219" t="e">
        <f t="shared" si="3"/>
        <v>#N/A</v>
      </c>
      <c r="J219" t="str">
        <f>VLOOKUP(aggregated_results!A219,representatives_list!A:D,4,FALSE)</f>
        <v>N/A</v>
      </c>
      <c r="K219" t="str">
        <f>VLOOKUP(aggregated_results!A219,representatives_list!A:D,3,FALSE)</f>
        <v>PPi</v>
      </c>
      <c r="L219" t="str">
        <f>VLOOKUP(aggregated_results!A219,representatives_list!A:E,5,FALSE)</f>
        <v>ABG(+)</v>
      </c>
      <c r="M219" t="str">
        <f>VLOOKUP(A219,representatives_list!A:B,2,FALSE)</f>
        <v>Virion DNA-directed RNA polymerase domain</v>
      </c>
      <c r="N219" t="str">
        <f>VLOOKUP(B219,representatives_list!A:B,2,FALSE)</f>
        <v>GHMP Kinase, C-terminal domain</v>
      </c>
      <c r="O219" t="str">
        <f>VLOOKUP(aggregated_results!B219,representatives_list!A:E,5,FALSE)</f>
        <v>ABG(+)</v>
      </c>
      <c r="P219" t="str">
        <f>VLOOKUP(aggregated_results!B219,representatives_list!A:D,3,FALSE)</f>
        <v>Pi</v>
      </c>
      <c r="Q219" t="str">
        <f>VLOOKUP(aggregated_results!B219,representatives_list!A:D,4,FALSE)</f>
        <v>d.58.26</v>
      </c>
    </row>
    <row r="220" spans="1:17" x14ac:dyDescent="0.25">
      <c r="A220" t="s">
        <v>43</v>
      </c>
      <c r="B220" t="s">
        <v>26</v>
      </c>
      <c r="C220">
        <v>3.1</v>
      </c>
      <c r="D220">
        <v>3.7</v>
      </c>
      <c r="E220">
        <v>76</v>
      </c>
      <c r="F220">
        <v>389</v>
      </c>
      <c r="G220">
        <v>17</v>
      </c>
      <c r="I220" t="str">
        <f t="shared" si="3"/>
        <v/>
      </c>
      <c r="J220" t="str">
        <f>VLOOKUP(aggregated_results!A220,representatives_list!A:D,4,FALSE)</f>
        <v>c.1.17</v>
      </c>
      <c r="K220" t="str">
        <f>VLOOKUP(aggregated_results!A220,representatives_list!A:D,3,FALSE)</f>
        <v>Pi</v>
      </c>
      <c r="L220" t="str">
        <f>VLOOKUP(aggregated_results!A220,representatives_list!A:E,5,FALSE)</f>
        <v>N/A</v>
      </c>
      <c r="M220" t="str">
        <f>VLOOKUP(A220,representatives_list!A:B,2,FALSE)</f>
        <v>Nicotinate/Quinolinate PRTase C-terminal domain-like</v>
      </c>
      <c r="N220" t="str">
        <f>VLOOKUP(B220,representatives_list!A:B,2,FALSE)</f>
        <v>GlnB-like</v>
      </c>
      <c r="O220" t="str">
        <f>VLOOKUP(aggregated_results!B220,representatives_list!A:E,5,FALSE)</f>
        <v>ABG(–)</v>
      </c>
      <c r="P220" t="str">
        <f>VLOOKUP(aggregated_results!B220,representatives_list!A:D,3,FALSE)</f>
        <v>Pi</v>
      </c>
      <c r="Q220" t="str">
        <f>VLOOKUP(aggregated_results!B220,representatives_list!A:D,4,FALSE)</f>
        <v>d.58.5</v>
      </c>
    </row>
    <row r="221" spans="1:17" x14ac:dyDescent="0.25">
      <c r="A221" t="s">
        <v>67</v>
      </c>
      <c r="B221" t="s">
        <v>36</v>
      </c>
      <c r="C221">
        <v>3.1</v>
      </c>
      <c r="D221">
        <v>4.2</v>
      </c>
      <c r="E221">
        <v>79</v>
      </c>
      <c r="F221">
        <v>255</v>
      </c>
      <c r="G221">
        <v>11</v>
      </c>
      <c r="I221" t="str">
        <f t="shared" si="3"/>
        <v/>
      </c>
      <c r="J221" t="str">
        <f>VLOOKUP(aggregated_results!A221,representatives_list!A:D,4,FALSE)</f>
        <v>c.100.1</v>
      </c>
      <c r="K221" t="str">
        <f>VLOOKUP(aggregated_results!A221,representatives_list!A:D,3,FALSE)</f>
        <v>PPi</v>
      </c>
      <c r="L221" t="str">
        <f>VLOOKUP(aggregated_results!A221,representatives_list!A:E,5,FALSE)</f>
        <v>AG</v>
      </c>
      <c r="M221" t="str">
        <f>VLOOKUP(A221,representatives_list!A:B,2,FALSE)</f>
        <v>Thiamin pyrophosphokinase, catalytic domain</v>
      </c>
      <c r="N221" t="str">
        <f>VLOOKUP(B221,representatives_list!A:B,2,FALSE)</f>
        <v>P-loop containing nucleoside triphosphate hydrolases</v>
      </c>
      <c r="O221" t="str">
        <f>VLOOKUP(aggregated_results!B221,representatives_list!A:E,5,FALSE)</f>
        <v>BG(–)</v>
      </c>
      <c r="P221" t="str">
        <f>VLOOKUP(aggregated_results!B221,representatives_list!A:D,3,FALSE)</f>
        <v>Pi</v>
      </c>
      <c r="Q221" t="str">
        <f>VLOOKUP(aggregated_results!B221,representatives_list!A:D,4,FALSE)</f>
        <v>c.37.1</v>
      </c>
    </row>
    <row r="222" spans="1:17" x14ac:dyDescent="0.25">
      <c r="A222" t="s">
        <v>18</v>
      </c>
      <c r="B222" t="s">
        <v>50</v>
      </c>
      <c r="C222">
        <v>3.1</v>
      </c>
      <c r="D222">
        <v>3.7</v>
      </c>
      <c r="E222">
        <v>82</v>
      </c>
      <c r="F222">
        <v>192</v>
      </c>
      <c r="G222">
        <v>7</v>
      </c>
      <c r="I222" t="str">
        <f t="shared" si="3"/>
        <v>x</v>
      </c>
      <c r="J222" t="str">
        <f>VLOOKUP(aggregated_results!A222,representatives_list!A:D,4,FALSE)</f>
        <v>d.58.29</v>
      </c>
      <c r="K222" t="str">
        <f>VLOOKUP(aggregated_results!A222,representatives_list!A:D,3,FALSE)</f>
        <v>PPi</v>
      </c>
      <c r="L222" t="str">
        <f>VLOOKUP(aggregated_results!A222,representatives_list!A:E,5,FALSE)</f>
        <v>ABG(–)</v>
      </c>
      <c r="M222" t="str">
        <f>VLOOKUP(A222,representatives_list!A:B,2,FALSE)</f>
        <v>Nucleotide cyclase</v>
      </c>
      <c r="N222" t="str">
        <f>VLOOKUP(B222,representatives_list!A:B,2,FALSE)</f>
        <v>Nucleoside diphosphate kinase, NDK</v>
      </c>
      <c r="O222" t="str">
        <f>VLOOKUP(aggregated_results!B222,representatives_list!A:E,5,FALSE)</f>
        <v>ABG(+)</v>
      </c>
      <c r="P222" t="str">
        <f>VLOOKUP(aggregated_results!B222,representatives_list!A:D,3,FALSE)</f>
        <v>Pi</v>
      </c>
      <c r="Q222" t="str">
        <f>VLOOKUP(aggregated_results!B222,representatives_list!A:D,4,FALSE)</f>
        <v>d.58.6</v>
      </c>
    </row>
    <row r="223" spans="1:17" x14ac:dyDescent="0.25">
      <c r="A223" t="s">
        <v>73</v>
      </c>
      <c r="B223" t="s">
        <v>74</v>
      </c>
      <c r="C223">
        <v>3.1</v>
      </c>
      <c r="D223">
        <v>5.5</v>
      </c>
      <c r="E223">
        <v>121</v>
      </c>
      <c r="F223">
        <v>497</v>
      </c>
      <c r="G223">
        <v>11</v>
      </c>
      <c r="I223" t="str">
        <f t="shared" si="3"/>
        <v>x</v>
      </c>
      <c r="J223" t="str">
        <f>VLOOKUP(aggregated_results!A223,representatives_list!A:D,4,FALSE)</f>
        <v>c.26.2</v>
      </c>
      <c r="K223" t="str">
        <f>VLOOKUP(aggregated_results!A223,representatives_list!A:D,3,FALSE)</f>
        <v>PPi</v>
      </c>
      <c r="L223" t="str">
        <f>VLOOKUP(aggregated_results!A223,representatives_list!A:E,5,FALSE)</f>
        <v>ABG(+)</v>
      </c>
      <c r="M223" t="str">
        <f>VLOOKUP(A223,representatives_list!A:B,2,FALSE)</f>
        <v>Adenine nucleotide alpha hydrolases-like</v>
      </c>
      <c r="N223" t="str">
        <f>VLOOKUP(B223,representatives_list!A:B,2,FALSE)</f>
        <v>Nucleotidylyl transferase</v>
      </c>
      <c r="O223" t="str">
        <f>VLOOKUP(aggregated_results!B223,representatives_list!A:E,5,FALSE)</f>
        <v>ABG(–)</v>
      </c>
      <c r="P223" t="str">
        <f>VLOOKUP(aggregated_results!B223,representatives_list!A:D,3,FALSE)</f>
        <v>PPi</v>
      </c>
      <c r="Q223" t="str">
        <f>VLOOKUP(aggregated_results!B223,representatives_list!A:D,4,FALSE)</f>
        <v>c.26.1</v>
      </c>
    </row>
    <row r="224" spans="1:17" x14ac:dyDescent="0.25">
      <c r="A224" t="s">
        <v>29</v>
      </c>
      <c r="B224" t="s">
        <v>48</v>
      </c>
      <c r="C224">
        <v>3</v>
      </c>
      <c r="D224">
        <v>3.1</v>
      </c>
      <c r="E224">
        <v>90</v>
      </c>
      <c r="F224">
        <v>309</v>
      </c>
      <c r="G224">
        <v>14</v>
      </c>
      <c r="I224" t="str">
        <f t="shared" si="3"/>
        <v/>
      </c>
      <c r="J224" t="str">
        <f>VLOOKUP(aggregated_results!A224,representatives_list!A:D,4,FALSE)</f>
        <v>c.61.1</v>
      </c>
      <c r="K224" t="str">
        <f>VLOOKUP(aggregated_results!A224,representatives_list!A:D,3,FALSE)</f>
        <v>PPi</v>
      </c>
      <c r="L224" t="str">
        <f>VLOOKUP(aggregated_results!A224,representatives_list!A:E,5,FALSE)</f>
        <v>ABG(+)</v>
      </c>
      <c r="M224" t="str">
        <f>VLOOKUP(A224,representatives_list!A:B,2,FALSE)</f>
        <v>PRTase-like</v>
      </c>
      <c r="N224" t="str">
        <f>VLOOKUP(B224,representatives_list!A:B,2,FALSE)</f>
        <v>Metal cation-transporting ATPase, ATP-binding domain N</v>
      </c>
      <c r="O224" t="str">
        <f>VLOOKUP(aggregated_results!B224,representatives_list!A:E,5,FALSE)</f>
        <v>BG(–)</v>
      </c>
      <c r="P224" t="str">
        <f>VLOOKUP(aggregated_results!B224,representatives_list!A:D,3,FALSE)</f>
        <v>Pi</v>
      </c>
      <c r="Q224" t="str">
        <f>VLOOKUP(aggregated_results!B224,representatives_list!A:D,4,FALSE)</f>
        <v>d.220.1</v>
      </c>
    </row>
    <row r="225" spans="1:17" x14ac:dyDescent="0.25">
      <c r="A225" t="s">
        <v>29</v>
      </c>
      <c r="B225" t="s">
        <v>43</v>
      </c>
      <c r="C225">
        <v>3</v>
      </c>
      <c r="D225">
        <v>10.199999999999999</v>
      </c>
      <c r="E225">
        <v>105</v>
      </c>
      <c r="F225">
        <v>309</v>
      </c>
      <c r="G225">
        <v>6</v>
      </c>
      <c r="I225" t="str">
        <f t="shared" si="3"/>
        <v/>
      </c>
      <c r="J225" t="str">
        <f>VLOOKUP(aggregated_results!A225,representatives_list!A:D,4,FALSE)</f>
        <v>c.61.1</v>
      </c>
      <c r="K225" t="str">
        <f>VLOOKUP(aggregated_results!A225,representatives_list!A:D,3,FALSE)</f>
        <v>PPi</v>
      </c>
      <c r="L225" t="str">
        <f>VLOOKUP(aggregated_results!A225,representatives_list!A:E,5,FALSE)</f>
        <v>ABG(+)</v>
      </c>
      <c r="M225" t="str">
        <f>VLOOKUP(A225,representatives_list!A:B,2,FALSE)</f>
        <v>PRTase-like</v>
      </c>
      <c r="N225" t="str">
        <f>VLOOKUP(B225,representatives_list!A:B,2,FALSE)</f>
        <v>Nicotinate/Quinolinate PRTase C-terminal domain-like</v>
      </c>
      <c r="O225" t="str">
        <f>VLOOKUP(aggregated_results!B225,representatives_list!A:E,5,FALSE)</f>
        <v>N/A</v>
      </c>
      <c r="P225" t="str">
        <f>VLOOKUP(aggregated_results!B225,representatives_list!A:D,3,FALSE)</f>
        <v>Pi</v>
      </c>
      <c r="Q225" t="str">
        <f>VLOOKUP(aggregated_results!B225,representatives_list!A:D,4,FALSE)</f>
        <v>c.1.17</v>
      </c>
    </row>
    <row r="226" spans="1:17" x14ac:dyDescent="0.25">
      <c r="A226" t="s">
        <v>82</v>
      </c>
      <c r="B226" t="s">
        <v>56</v>
      </c>
      <c r="C226">
        <v>3</v>
      </c>
      <c r="D226">
        <v>19.600000000000001</v>
      </c>
      <c r="E226">
        <v>75</v>
      </c>
      <c r="F226">
        <v>933</v>
      </c>
      <c r="G226">
        <v>7</v>
      </c>
      <c r="I226" t="e">
        <f t="shared" si="3"/>
        <v>#N/A</v>
      </c>
      <c r="J226" t="str">
        <f>VLOOKUP(aggregated_results!A226,representatives_list!A:D,4,FALSE)</f>
        <v>N/A</v>
      </c>
      <c r="K226" t="str">
        <f>VLOOKUP(aggregated_results!A226,representatives_list!A:D,3,FALSE)</f>
        <v>PPi</v>
      </c>
      <c r="L226" t="str">
        <f>VLOOKUP(aggregated_results!A226,representatives_list!A:E,5,FALSE)</f>
        <v>ABG(–)</v>
      </c>
      <c r="M226" t="str">
        <f>VLOOKUP(A226,representatives_list!A:B,2,FALSE)</f>
        <v>RNA-dependent RNA polymerase, eukaryotic-type</v>
      </c>
      <c r="N226" t="str">
        <f>VLOOKUP(B226,representatives_list!A:B,2,FALSE)</f>
        <v>GroEL equatorial domain-like</v>
      </c>
      <c r="O226" t="str">
        <f>VLOOKUP(aggregated_results!B226,representatives_list!A:E,5,FALSE)</f>
        <v>ABG(+)</v>
      </c>
      <c r="P226" t="str">
        <f>VLOOKUP(aggregated_results!B226,representatives_list!A:D,3,FALSE)</f>
        <v>Pi</v>
      </c>
      <c r="Q226" t="str">
        <f>VLOOKUP(aggregated_results!B226,representatives_list!A:D,4,FALSE)</f>
        <v>a.129.1</v>
      </c>
    </row>
    <row r="227" spans="1:17" x14ac:dyDescent="0.25">
      <c r="A227" t="s">
        <v>77</v>
      </c>
      <c r="B227" t="s">
        <v>31</v>
      </c>
      <c r="C227">
        <v>3</v>
      </c>
      <c r="D227">
        <v>5.8</v>
      </c>
      <c r="E227">
        <v>107</v>
      </c>
      <c r="F227">
        <v>329</v>
      </c>
      <c r="G227">
        <v>6</v>
      </c>
      <c r="I227" t="str">
        <f t="shared" si="3"/>
        <v/>
      </c>
      <c r="J227" t="str">
        <f>VLOOKUP(aggregated_results!A227,representatives_list!A:D,4,FALSE)</f>
        <v>d.218.1</v>
      </c>
      <c r="K227" t="str">
        <f>VLOOKUP(aggregated_results!A227,representatives_list!A:D,3,FALSE)</f>
        <v>PPi</v>
      </c>
      <c r="L227" t="str">
        <f>VLOOKUP(aggregated_results!A227,representatives_list!A:E,5,FALSE)</f>
        <v>ABG(–)</v>
      </c>
      <c r="M227" t="str">
        <f>VLOOKUP(A227,representatives_list!A:B,2,FALSE)</f>
        <v>Nucleotidyltransferase</v>
      </c>
      <c r="N227" t="str">
        <f>VLOOKUP(B227,representatives_list!A:B,2,FALSE)</f>
        <v>GHMP Kinase, C-terminal domain</v>
      </c>
      <c r="O227" t="str">
        <f>VLOOKUP(aggregated_results!B227,representatives_list!A:E,5,FALSE)</f>
        <v>ABG(+)</v>
      </c>
      <c r="P227" t="str">
        <f>VLOOKUP(aggregated_results!B227,representatives_list!A:D,3,FALSE)</f>
        <v>Pi</v>
      </c>
      <c r="Q227" t="str">
        <f>VLOOKUP(aggregated_results!B227,representatives_list!A:D,4,FALSE)</f>
        <v>d.58.26</v>
      </c>
    </row>
    <row r="228" spans="1:17" x14ac:dyDescent="0.25">
      <c r="A228" t="s">
        <v>28</v>
      </c>
      <c r="B228" t="s">
        <v>41</v>
      </c>
      <c r="C228">
        <v>3</v>
      </c>
      <c r="D228">
        <v>10.6</v>
      </c>
      <c r="E228">
        <v>105</v>
      </c>
      <c r="F228">
        <v>301</v>
      </c>
      <c r="G228">
        <v>10</v>
      </c>
      <c r="I228" t="str">
        <f t="shared" si="3"/>
        <v/>
      </c>
      <c r="J228" t="str">
        <f>VLOOKUP(aggregated_results!A228,representatives_list!A:D,4,FALSE)</f>
        <v>c.111.1</v>
      </c>
      <c r="K228" t="str">
        <f>VLOOKUP(aggregated_results!A228,representatives_list!A:D,3,FALSE)</f>
        <v>PPi</v>
      </c>
      <c r="L228" t="str">
        <f>VLOOKUP(aggregated_results!A228,representatives_list!A:E,5,FALSE)</f>
        <v>ABG(+)</v>
      </c>
      <c r="M228" t="str">
        <f>VLOOKUP(A228,representatives_list!A:B,2,FALSE)</f>
        <v>Activating enzymes of the ubiquitin-like proteins</v>
      </c>
      <c r="N228" t="str">
        <f>VLOOKUP(B228,representatives_list!A:B,2,FALSE)</f>
        <v>Molybdenum cofactor biosynthesis proteins</v>
      </c>
      <c r="O228" t="str">
        <f>VLOOKUP(aggregated_results!B228,representatives_list!A:E,5,FALSE)</f>
        <v>ABG(–)</v>
      </c>
      <c r="P228" t="str">
        <f>VLOOKUP(aggregated_results!B228,representatives_list!A:D,3,FALSE)</f>
        <v>Pi</v>
      </c>
      <c r="Q228" t="str">
        <f>VLOOKUP(aggregated_results!B228,representatives_list!A:D,4,FALSE)</f>
        <v>c.57.1</v>
      </c>
    </row>
    <row r="229" spans="1:17" x14ac:dyDescent="0.25">
      <c r="A229" t="s">
        <v>81</v>
      </c>
      <c r="B229" t="s">
        <v>51</v>
      </c>
      <c r="C229">
        <v>3</v>
      </c>
      <c r="D229">
        <v>3.7</v>
      </c>
      <c r="E229">
        <v>101</v>
      </c>
      <c r="F229">
        <v>277</v>
      </c>
      <c r="G229">
        <v>13</v>
      </c>
      <c r="I229" t="str">
        <f t="shared" si="3"/>
        <v/>
      </c>
      <c r="J229" t="str">
        <f>VLOOKUP(aggregated_results!A229,representatives_list!A:D,4,FALSE)</f>
        <v>c.68.1</v>
      </c>
      <c r="K229" t="str">
        <f>VLOOKUP(aggregated_results!A229,representatives_list!A:D,3,FALSE)</f>
        <v>PPi</v>
      </c>
      <c r="L229" t="str">
        <f>VLOOKUP(aggregated_results!A229,representatives_list!A:E,5,FALSE)</f>
        <v>ABG(+)</v>
      </c>
      <c r="M229" t="str">
        <f>VLOOKUP(A229,representatives_list!A:B,2,FALSE)</f>
        <v>Nucleotide-diphospho-sugar transferases</v>
      </c>
      <c r="N229" t="str">
        <f>VLOOKUP(B229,representatives_list!A:B,2,FALSE)</f>
        <v>DhaL-like</v>
      </c>
      <c r="O229" t="str">
        <f>VLOOKUP(aggregated_results!B229,representatives_list!A:E,5,FALSE)</f>
        <v>BG(–)</v>
      </c>
      <c r="P229" t="str">
        <f>VLOOKUP(aggregated_results!B229,representatives_list!A:D,3,FALSE)</f>
        <v>Pi</v>
      </c>
      <c r="Q229" t="str">
        <f>VLOOKUP(aggregated_results!B229,representatives_list!A:D,4,FALSE)</f>
        <v>a.208.1</v>
      </c>
    </row>
    <row r="230" spans="1:17" x14ac:dyDescent="0.25">
      <c r="A230" t="s">
        <v>69</v>
      </c>
      <c r="B230" t="s">
        <v>48</v>
      </c>
      <c r="C230">
        <v>3</v>
      </c>
      <c r="D230">
        <v>4.7</v>
      </c>
      <c r="E230">
        <v>85</v>
      </c>
      <c r="F230">
        <v>158</v>
      </c>
      <c r="G230">
        <v>11</v>
      </c>
      <c r="I230" t="str">
        <f t="shared" si="3"/>
        <v/>
      </c>
      <c r="J230" t="str">
        <f>VLOOKUP(aggregated_results!A230,representatives_list!A:D,4,FALSE)</f>
        <v>f.42.1</v>
      </c>
      <c r="K230" t="str">
        <f>VLOOKUP(aggregated_results!A230,representatives_list!A:D,3,FALSE)</f>
        <v>PPi</v>
      </c>
      <c r="L230" t="str">
        <f>VLOOKUP(aggregated_results!A230,representatives_list!A:E,5,FALSE)</f>
        <v>AB(–)</v>
      </c>
      <c r="M230" t="str">
        <f>VLOOKUP(A230,representatives_list!A:B,2,FALSE)</f>
        <v>Mitochondrial carrier</v>
      </c>
      <c r="N230" t="str">
        <f>VLOOKUP(B230,representatives_list!A:B,2,FALSE)</f>
        <v>Metal cation-transporting ATPase, ATP-binding domain N</v>
      </c>
      <c r="O230" t="str">
        <f>VLOOKUP(aggregated_results!B230,representatives_list!A:E,5,FALSE)</f>
        <v>BG(–)</v>
      </c>
      <c r="P230" t="str">
        <f>VLOOKUP(aggregated_results!B230,representatives_list!A:D,3,FALSE)</f>
        <v>Pi</v>
      </c>
      <c r="Q230" t="str">
        <f>VLOOKUP(aggregated_results!B230,representatives_list!A:D,4,FALSE)</f>
        <v>d.220.1</v>
      </c>
    </row>
    <row r="231" spans="1:17" x14ac:dyDescent="0.25">
      <c r="A231" t="s">
        <v>33</v>
      </c>
      <c r="B231" t="s">
        <v>74</v>
      </c>
      <c r="C231">
        <v>3</v>
      </c>
      <c r="D231">
        <v>15.1</v>
      </c>
      <c r="E231">
        <v>114</v>
      </c>
      <c r="F231">
        <v>530</v>
      </c>
      <c r="G231">
        <v>6</v>
      </c>
      <c r="I231" t="str">
        <f t="shared" si="3"/>
        <v/>
      </c>
      <c r="J231" t="str">
        <f>VLOOKUP(aggregated_results!A231,representatives_list!A:D,4,FALSE)</f>
        <v>e.23.1</v>
      </c>
      <c r="K231" t="str">
        <f>VLOOKUP(aggregated_results!A231,representatives_list!A:D,3,FALSE)</f>
        <v>PPi</v>
      </c>
      <c r="L231" t="str">
        <f>VLOOKUP(aggregated_results!A231,representatives_list!A:E,5,FALSE)</f>
        <v>BG(+)</v>
      </c>
      <c r="M231" t="str">
        <f>VLOOKUP(A231,representatives_list!A:B,2,FALSE)</f>
        <v>Acetyl-CoA synthetase-like</v>
      </c>
      <c r="N231" t="str">
        <f>VLOOKUP(B231,representatives_list!A:B,2,FALSE)</f>
        <v>Nucleotidylyl transferase</v>
      </c>
      <c r="O231" t="str">
        <f>VLOOKUP(aggregated_results!B231,representatives_list!A:E,5,FALSE)</f>
        <v>ABG(–)</v>
      </c>
      <c r="P231" t="str">
        <f>VLOOKUP(aggregated_results!B231,representatives_list!A:D,3,FALSE)</f>
        <v>PPi</v>
      </c>
      <c r="Q231" t="str">
        <f>VLOOKUP(aggregated_results!B231,representatives_list!A:D,4,FALSE)</f>
        <v>c.26.1</v>
      </c>
    </row>
    <row r="232" spans="1:17" x14ac:dyDescent="0.25">
      <c r="A232" t="s">
        <v>38</v>
      </c>
      <c r="B232" t="s">
        <v>53</v>
      </c>
      <c r="C232">
        <v>3</v>
      </c>
      <c r="D232">
        <v>12.1</v>
      </c>
      <c r="E232">
        <v>107</v>
      </c>
      <c r="F232">
        <v>349</v>
      </c>
      <c r="G232">
        <v>5</v>
      </c>
      <c r="I232" t="str">
        <f t="shared" si="3"/>
        <v/>
      </c>
      <c r="J232" t="str">
        <f>VLOOKUP(aggregated_results!A232,representatives_list!A:D,4,FALSE)</f>
        <v>d.320.1</v>
      </c>
      <c r="K232" t="str">
        <f>VLOOKUP(aggregated_results!A232,representatives_list!A:D,3,FALSE)</f>
        <v>PPi</v>
      </c>
      <c r="L232" t="str">
        <f>VLOOKUP(aggregated_results!A232,representatives_list!A:E,5,FALSE)</f>
        <v>ABG(–)</v>
      </c>
      <c r="M232" t="str">
        <f>VLOOKUP(A232,representatives_list!A:B,2,FALSE)</f>
        <v>YojJ-like</v>
      </c>
      <c r="N232" t="str">
        <f>VLOOKUP(B232,representatives_list!A:B,2,FALSE)</f>
        <v>Protein kinase-like (PK-like)</v>
      </c>
      <c r="O232" t="str">
        <f>VLOOKUP(aggregated_results!B232,representatives_list!A:E,5,FALSE)</f>
        <v>BG(–)</v>
      </c>
      <c r="P232" t="str">
        <f>VLOOKUP(aggregated_results!B232,representatives_list!A:D,3,FALSE)</f>
        <v>Pi</v>
      </c>
      <c r="Q232" t="str">
        <f>VLOOKUP(aggregated_results!B232,representatives_list!A:D,4,FALSE)</f>
        <v>d.144.1</v>
      </c>
    </row>
    <row r="233" spans="1:17" x14ac:dyDescent="0.25">
      <c r="A233" t="s">
        <v>17</v>
      </c>
      <c r="B233" t="s">
        <v>50</v>
      </c>
      <c r="C233">
        <v>3</v>
      </c>
      <c r="D233">
        <v>3.1</v>
      </c>
      <c r="E233">
        <v>78</v>
      </c>
      <c r="F233">
        <v>427</v>
      </c>
      <c r="G233">
        <v>6</v>
      </c>
      <c r="I233" t="str">
        <f t="shared" si="3"/>
        <v/>
      </c>
      <c r="J233" t="str">
        <f>VLOOKUP(aggregated_results!A233,representatives_list!A:D,4,FALSE)</f>
        <v>e.8.1</v>
      </c>
      <c r="K233" t="str">
        <f>VLOOKUP(aggregated_results!A233,representatives_list!A:D,3,FALSE)</f>
        <v>PPi</v>
      </c>
      <c r="L233" t="str">
        <f>VLOOKUP(aggregated_results!A233,representatives_list!A:E,5,FALSE)</f>
        <v>ABG(–)</v>
      </c>
      <c r="M233" t="str">
        <f>VLOOKUP(A233,representatives_list!A:B,2,FALSE)</f>
        <v>DNA/RNA polymerases</v>
      </c>
      <c r="N233" t="str">
        <f>VLOOKUP(B233,representatives_list!A:B,2,FALSE)</f>
        <v>Nucleoside diphosphate kinase, NDK</v>
      </c>
      <c r="O233" t="str">
        <f>VLOOKUP(aggregated_results!B233,representatives_list!A:E,5,FALSE)</f>
        <v>ABG(+)</v>
      </c>
      <c r="P233" t="str">
        <f>VLOOKUP(aggregated_results!B233,representatives_list!A:D,3,FALSE)</f>
        <v>Pi</v>
      </c>
      <c r="Q233" t="str">
        <f>VLOOKUP(aggregated_results!B233,representatives_list!A:D,4,FALSE)</f>
        <v>d.58.6</v>
      </c>
    </row>
    <row r="234" spans="1:17" x14ac:dyDescent="0.25">
      <c r="A234" t="s">
        <v>60</v>
      </c>
      <c r="B234" t="s">
        <v>58</v>
      </c>
      <c r="C234">
        <v>3</v>
      </c>
      <c r="D234">
        <v>7.4</v>
      </c>
      <c r="E234">
        <v>86</v>
      </c>
      <c r="F234">
        <v>1095</v>
      </c>
      <c r="G234">
        <v>5</v>
      </c>
      <c r="I234" t="e">
        <f t="shared" si="3"/>
        <v>#N/A</v>
      </c>
      <c r="J234" t="str">
        <f>VLOOKUP(aggregated_results!A234,representatives_list!A:D,4,FALSE)</f>
        <v>N/A</v>
      </c>
      <c r="K234" t="str">
        <f>VLOOKUP(aggregated_results!A234,representatives_list!A:D,3,FALSE)</f>
        <v>PPi</v>
      </c>
      <c r="L234" t="str">
        <f>VLOOKUP(aggregated_results!A234,representatives_list!A:E,5,FALSE)</f>
        <v>ABG(+)</v>
      </c>
      <c r="M234" t="str">
        <f>VLOOKUP(A234,representatives_list!A:B,2,FALSE)</f>
        <v>Virion DNA-directed RNA polymerase domain</v>
      </c>
      <c r="N234" t="str">
        <f>VLOOKUP(B234,representatives_list!A:B,2,FALSE)</f>
        <v>Diacylglycerol kinase (DgkA)-like</v>
      </c>
      <c r="O234" t="str">
        <f>VLOOKUP(aggregated_results!B234,representatives_list!A:E,5,FALSE)</f>
        <v>BG(–)</v>
      </c>
      <c r="P234" t="str">
        <f>VLOOKUP(aggregated_results!B234,representatives_list!A:D,3,FALSE)</f>
        <v>Pi</v>
      </c>
      <c r="Q234" t="str">
        <f>VLOOKUP(aggregated_results!B234,representatives_list!A:D,4,FALSE)</f>
        <v>f.62.1</v>
      </c>
    </row>
    <row r="235" spans="1:17" x14ac:dyDescent="0.25">
      <c r="A235" t="s">
        <v>60</v>
      </c>
      <c r="B235" t="s">
        <v>48</v>
      </c>
      <c r="C235">
        <v>3</v>
      </c>
      <c r="D235">
        <v>12.3</v>
      </c>
      <c r="E235">
        <v>116</v>
      </c>
      <c r="F235">
        <v>1095</v>
      </c>
      <c r="G235">
        <v>5</v>
      </c>
      <c r="I235" t="e">
        <f t="shared" si="3"/>
        <v>#N/A</v>
      </c>
      <c r="J235" t="str">
        <f>VLOOKUP(aggregated_results!A235,representatives_list!A:D,4,FALSE)</f>
        <v>N/A</v>
      </c>
      <c r="K235" t="str">
        <f>VLOOKUP(aggregated_results!A235,representatives_list!A:D,3,FALSE)</f>
        <v>PPi</v>
      </c>
      <c r="L235" t="str">
        <f>VLOOKUP(aggregated_results!A235,representatives_list!A:E,5,FALSE)</f>
        <v>ABG(+)</v>
      </c>
      <c r="M235" t="str">
        <f>VLOOKUP(A235,representatives_list!A:B,2,FALSE)</f>
        <v>Virion DNA-directed RNA polymerase domain</v>
      </c>
      <c r="N235" t="str">
        <f>VLOOKUP(B235,representatives_list!A:B,2,FALSE)</f>
        <v>Metal cation-transporting ATPase, ATP-binding domain N</v>
      </c>
      <c r="O235" t="str">
        <f>VLOOKUP(aggregated_results!B235,representatives_list!A:E,5,FALSE)</f>
        <v>BG(–)</v>
      </c>
      <c r="P235" t="str">
        <f>VLOOKUP(aggregated_results!B235,representatives_list!A:D,3,FALSE)</f>
        <v>Pi</v>
      </c>
      <c r="Q235" t="str">
        <f>VLOOKUP(aggregated_results!B235,representatives_list!A:D,4,FALSE)</f>
        <v>d.220.1</v>
      </c>
    </row>
    <row r="236" spans="1:17" x14ac:dyDescent="0.25">
      <c r="A236" t="s">
        <v>21</v>
      </c>
      <c r="B236" t="s">
        <v>24</v>
      </c>
      <c r="C236">
        <v>3</v>
      </c>
      <c r="D236">
        <v>3.8</v>
      </c>
      <c r="E236">
        <v>104</v>
      </c>
      <c r="F236">
        <v>753</v>
      </c>
      <c r="G236">
        <v>12</v>
      </c>
      <c r="I236" t="str">
        <f t="shared" si="3"/>
        <v/>
      </c>
      <c r="J236" t="str">
        <f>VLOOKUP(aggregated_results!A236,representatives_list!A:D,4,FALSE)</f>
        <v>d.115.1</v>
      </c>
      <c r="K236" t="str">
        <f>VLOOKUP(aggregated_results!A236,representatives_list!A:D,3,FALSE)</f>
        <v>PPi</v>
      </c>
      <c r="L236" t="str">
        <f>VLOOKUP(aggregated_results!A236,representatives_list!A:E,5,FALSE)</f>
        <v>ABG(–)</v>
      </c>
      <c r="M236" t="str">
        <f>VLOOKUP(A236,representatives_list!A:B,2,FALSE)</f>
        <v>YrdC/RibB</v>
      </c>
      <c r="N236" t="str">
        <f>VLOOKUP(B236,representatives_list!A:B,2,FALSE)</f>
        <v>Ribokinase-like</v>
      </c>
      <c r="O236" t="str">
        <f>VLOOKUP(aggregated_results!B236,representatives_list!A:E,5,FALSE)</f>
        <v>BG(–)</v>
      </c>
      <c r="P236" t="str">
        <f>VLOOKUP(aggregated_results!B236,representatives_list!A:D,3,FALSE)</f>
        <v>Pi</v>
      </c>
      <c r="Q236" t="str">
        <f>VLOOKUP(aggregated_results!B236,representatives_list!A:D,4,FALSE)</f>
        <v>c.72.1</v>
      </c>
    </row>
    <row r="237" spans="1:17" x14ac:dyDescent="0.25">
      <c r="A237" t="s">
        <v>71</v>
      </c>
      <c r="B237" t="s">
        <v>51</v>
      </c>
      <c r="C237">
        <v>3</v>
      </c>
      <c r="D237">
        <v>7.9</v>
      </c>
      <c r="E237">
        <v>106</v>
      </c>
      <c r="F237">
        <v>336</v>
      </c>
      <c r="G237">
        <v>8</v>
      </c>
      <c r="I237" t="str">
        <f t="shared" si="3"/>
        <v/>
      </c>
      <c r="J237" t="str">
        <f>VLOOKUP(aggregated_results!A237,representatives_list!A:D,4,FALSE)</f>
        <v>d.68.2</v>
      </c>
      <c r="K237" t="str">
        <f>VLOOKUP(aggregated_results!A237,representatives_list!A:D,3,FALSE)</f>
        <v>PPi</v>
      </c>
      <c r="L237" t="str">
        <f>VLOOKUP(aggregated_results!A237,representatives_list!A:E,5,FALSE)</f>
        <v>ABG(–)</v>
      </c>
      <c r="M237" t="str">
        <f>VLOOKUP(A237,representatives_list!A:B,2,FALSE)</f>
        <v>EPT/RTPC-like</v>
      </c>
      <c r="N237" t="str">
        <f>VLOOKUP(B237,representatives_list!A:B,2,FALSE)</f>
        <v>DhaL-like</v>
      </c>
      <c r="O237" t="str">
        <f>VLOOKUP(aggregated_results!B237,representatives_list!A:E,5,FALSE)</f>
        <v>BG(–)</v>
      </c>
      <c r="P237" t="str">
        <f>VLOOKUP(aggregated_results!B237,representatives_list!A:D,3,FALSE)</f>
        <v>Pi</v>
      </c>
      <c r="Q237" t="str">
        <f>VLOOKUP(aggregated_results!B237,representatives_list!A:D,4,FALSE)</f>
        <v>a.208.1</v>
      </c>
    </row>
    <row r="238" spans="1:17" x14ac:dyDescent="0.25">
      <c r="A238" t="s">
        <v>20</v>
      </c>
      <c r="B238" t="s">
        <v>31</v>
      </c>
      <c r="C238">
        <v>3</v>
      </c>
      <c r="D238">
        <v>16</v>
      </c>
      <c r="E238">
        <v>91</v>
      </c>
      <c r="F238">
        <v>994</v>
      </c>
      <c r="G238">
        <v>8</v>
      </c>
      <c r="I238" t="e">
        <f t="shared" si="3"/>
        <v>#N/A</v>
      </c>
      <c r="J238" t="str">
        <f>VLOOKUP(aggregated_results!A238,representatives_list!A:D,4,FALSE)</f>
        <v>N/A</v>
      </c>
      <c r="K238" t="str">
        <f>VLOOKUP(aggregated_results!A238,representatives_list!A:D,3,FALSE)</f>
        <v>PPi</v>
      </c>
      <c r="L238" t="str">
        <f>VLOOKUP(aggregated_results!A238,representatives_list!A:E,5,FALSE)</f>
        <v>ABG(–)</v>
      </c>
      <c r="M238" t="str">
        <f>VLOOKUP(A238,representatives_list!A:B,2,FALSE)</f>
        <v>Bacterial DNA polymerase III, alpha subunit, NTPase domain</v>
      </c>
      <c r="N238" t="str">
        <f>VLOOKUP(B238,representatives_list!A:B,2,FALSE)</f>
        <v>GHMP Kinase, C-terminal domain</v>
      </c>
      <c r="O238" t="str">
        <f>VLOOKUP(aggregated_results!B238,representatives_list!A:E,5,FALSE)</f>
        <v>ABG(+)</v>
      </c>
      <c r="P238" t="str">
        <f>VLOOKUP(aggregated_results!B238,representatives_list!A:D,3,FALSE)</f>
        <v>Pi</v>
      </c>
      <c r="Q238" t="str">
        <f>VLOOKUP(aggregated_results!B238,representatives_list!A:D,4,FALSE)</f>
        <v>d.58.26</v>
      </c>
    </row>
    <row r="239" spans="1:17" x14ac:dyDescent="0.25">
      <c r="A239" t="s">
        <v>24</v>
      </c>
      <c r="B239" t="s">
        <v>32</v>
      </c>
      <c r="C239">
        <v>3</v>
      </c>
      <c r="D239">
        <v>4</v>
      </c>
      <c r="E239">
        <v>81</v>
      </c>
      <c r="F239">
        <v>315</v>
      </c>
      <c r="G239">
        <v>5</v>
      </c>
      <c r="I239" t="str">
        <f t="shared" si="3"/>
        <v/>
      </c>
      <c r="J239" t="str">
        <f>VLOOKUP(aggregated_results!A239,representatives_list!A:D,4,FALSE)</f>
        <v>c.72.1</v>
      </c>
      <c r="K239" t="str">
        <f>VLOOKUP(aggregated_results!A239,representatives_list!A:D,3,FALSE)</f>
        <v>Pi</v>
      </c>
      <c r="L239" t="str">
        <f>VLOOKUP(aggregated_results!A239,representatives_list!A:E,5,FALSE)</f>
        <v>BG(–)</v>
      </c>
      <c r="M239" t="str">
        <f>VLOOKUP(A239,representatives_list!A:B,2,FALSE)</f>
        <v>Ribokinase-like</v>
      </c>
      <c r="N239" t="str">
        <f>VLOOKUP(B239,representatives_list!A:B,2,FALSE)</f>
        <v>Phosphoenolpyruvate/pyruvate domain</v>
      </c>
      <c r="O239" t="str">
        <f>VLOOKUP(aggregated_results!B239,representatives_list!A:E,5,FALSE)</f>
        <v>ABG(–)</v>
      </c>
      <c r="P239" t="str">
        <f>VLOOKUP(aggregated_results!B239,representatives_list!A:D,3,FALSE)</f>
        <v>Pi</v>
      </c>
      <c r="Q239" t="str">
        <f>VLOOKUP(aggregated_results!B239,representatives_list!A:D,4,FALSE)</f>
        <v>c.1.12</v>
      </c>
    </row>
    <row r="240" spans="1:17" x14ac:dyDescent="0.25">
      <c r="A240" t="s">
        <v>24</v>
      </c>
      <c r="B240" t="s">
        <v>41</v>
      </c>
      <c r="C240">
        <v>3</v>
      </c>
      <c r="D240">
        <v>5.5</v>
      </c>
      <c r="E240">
        <v>99</v>
      </c>
      <c r="F240">
        <v>315</v>
      </c>
      <c r="G240">
        <v>13</v>
      </c>
      <c r="I240" t="str">
        <f t="shared" si="3"/>
        <v/>
      </c>
      <c r="J240" t="str">
        <f>VLOOKUP(aggregated_results!A240,representatives_list!A:D,4,FALSE)</f>
        <v>c.72.1</v>
      </c>
      <c r="K240" t="str">
        <f>VLOOKUP(aggregated_results!A240,representatives_list!A:D,3,FALSE)</f>
        <v>Pi</v>
      </c>
      <c r="L240" t="str">
        <f>VLOOKUP(aggregated_results!A240,representatives_list!A:E,5,FALSE)</f>
        <v>BG(–)</v>
      </c>
      <c r="M240" t="str">
        <f>VLOOKUP(A240,representatives_list!A:B,2,FALSE)</f>
        <v>Ribokinase-like</v>
      </c>
      <c r="N240" t="str">
        <f>VLOOKUP(B240,representatives_list!A:B,2,FALSE)</f>
        <v>Molybdenum cofactor biosynthesis proteins</v>
      </c>
      <c r="O240" t="str">
        <f>VLOOKUP(aggregated_results!B240,representatives_list!A:E,5,FALSE)</f>
        <v>ABG(–)</v>
      </c>
      <c r="P240" t="str">
        <f>VLOOKUP(aggregated_results!B240,representatives_list!A:D,3,FALSE)</f>
        <v>Pi</v>
      </c>
      <c r="Q240" t="str">
        <f>VLOOKUP(aggregated_results!B240,representatives_list!A:D,4,FALSE)</f>
        <v>c.57.1</v>
      </c>
    </row>
    <row r="241" spans="1:17" x14ac:dyDescent="0.25">
      <c r="A241" t="s">
        <v>24</v>
      </c>
      <c r="B241" t="s">
        <v>56</v>
      </c>
      <c r="C241">
        <v>3</v>
      </c>
      <c r="D241">
        <v>5.3</v>
      </c>
      <c r="E241">
        <v>83</v>
      </c>
      <c r="F241">
        <v>315</v>
      </c>
      <c r="G241">
        <v>6</v>
      </c>
      <c r="I241" t="str">
        <f t="shared" si="3"/>
        <v/>
      </c>
      <c r="J241" t="str">
        <f>VLOOKUP(aggregated_results!A241,representatives_list!A:D,4,FALSE)</f>
        <v>c.72.1</v>
      </c>
      <c r="K241" t="str">
        <f>VLOOKUP(aggregated_results!A241,representatives_list!A:D,3,FALSE)</f>
        <v>Pi</v>
      </c>
      <c r="L241" t="str">
        <f>VLOOKUP(aggregated_results!A241,representatives_list!A:E,5,FALSE)</f>
        <v>BG(–)</v>
      </c>
      <c r="M241" t="str">
        <f>VLOOKUP(A241,representatives_list!A:B,2,FALSE)</f>
        <v>Ribokinase-like</v>
      </c>
      <c r="N241" t="str">
        <f>VLOOKUP(B241,representatives_list!A:B,2,FALSE)</f>
        <v>GroEL equatorial domain-like</v>
      </c>
      <c r="O241" t="str">
        <f>VLOOKUP(aggregated_results!B241,representatives_list!A:E,5,FALSE)</f>
        <v>ABG(+)</v>
      </c>
      <c r="P241" t="str">
        <f>VLOOKUP(aggregated_results!B241,representatives_list!A:D,3,FALSE)</f>
        <v>Pi</v>
      </c>
      <c r="Q241" t="str">
        <f>VLOOKUP(aggregated_results!B241,representatives_list!A:D,4,FALSE)</f>
        <v>a.129.1</v>
      </c>
    </row>
    <row r="242" spans="1:17" x14ac:dyDescent="0.25">
      <c r="A242" t="s">
        <v>67</v>
      </c>
      <c r="B242" t="s">
        <v>24</v>
      </c>
      <c r="C242">
        <v>3</v>
      </c>
      <c r="D242">
        <v>3.9</v>
      </c>
      <c r="E242">
        <v>102</v>
      </c>
      <c r="F242">
        <v>255</v>
      </c>
      <c r="G242">
        <v>4</v>
      </c>
      <c r="I242" t="str">
        <f t="shared" si="3"/>
        <v/>
      </c>
      <c r="J242" t="str">
        <f>VLOOKUP(aggregated_results!A242,representatives_list!A:D,4,FALSE)</f>
        <v>c.100.1</v>
      </c>
      <c r="K242" t="str">
        <f>VLOOKUP(aggregated_results!A242,representatives_list!A:D,3,FALSE)</f>
        <v>PPi</v>
      </c>
      <c r="L242" t="str">
        <f>VLOOKUP(aggregated_results!A242,representatives_list!A:E,5,FALSE)</f>
        <v>AG</v>
      </c>
      <c r="M242" t="str">
        <f>VLOOKUP(A242,representatives_list!A:B,2,FALSE)</f>
        <v>Thiamin pyrophosphokinase, catalytic domain</v>
      </c>
      <c r="N242" t="str">
        <f>VLOOKUP(B242,representatives_list!A:B,2,FALSE)</f>
        <v>Ribokinase-like</v>
      </c>
      <c r="O242" t="str">
        <f>VLOOKUP(aggregated_results!B242,representatives_list!A:E,5,FALSE)</f>
        <v>BG(–)</v>
      </c>
      <c r="P242" t="str">
        <f>VLOOKUP(aggregated_results!B242,representatives_list!A:D,3,FALSE)</f>
        <v>Pi</v>
      </c>
      <c r="Q242" t="str">
        <f>VLOOKUP(aggregated_results!B242,representatives_list!A:D,4,FALSE)</f>
        <v>c.72.1</v>
      </c>
    </row>
    <row r="243" spans="1:17" x14ac:dyDescent="0.25">
      <c r="A243" t="s">
        <v>64</v>
      </c>
      <c r="B243" t="s">
        <v>37</v>
      </c>
      <c r="C243">
        <v>3</v>
      </c>
      <c r="D243">
        <v>4.4000000000000004</v>
      </c>
      <c r="E243">
        <v>120</v>
      </c>
      <c r="F243">
        <v>412</v>
      </c>
      <c r="G243">
        <v>10</v>
      </c>
      <c r="I243" t="str">
        <f t="shared" si="3"/>
        <v/>
      </c>
      <c r="J243" t="str">
        <f>VLOOKUP(aggregated_results!A243,representatives_list!A:D,4,FALSE)</f>
        <v>c.146.1</v>
      </c>
      <c r="K243" t="str">
        <f>VLOOKUP(aggregated_results!A243,representatives_list!A:D,3,FALSE)</f>
        <v>Pi</v>
      </c>
      <c r="L243" t="str">
        <f>VLOOKUP(aggregated_results!A243,representatives_list!A:E,5,FALSE)</f>
        <v>N/A</v>
      </c>
      <c r="M243" t="str">
        <f>VLOOKUP(A243,representatives_list!A:B,2,FALSE)</f>
        <v>YgbK-like</v>
      </c>
      <c r="N243" t="str">
        <f>VLOOKUP(B243,representatives_list!A:B,2,FALSE)</f>
        <v>Phosphofructokinase</v>
      </c>
      <c r="O243" t="str">
        <f>VLOOKUP(aggregated_results!B243,representatives_list!A:E,5,FALSE)</f>
        <v>ABG(–)</v>
      </c>
      <c r="P243" t="str">
        <f>VLOOKUP(aggregated_results!B243,representatives_list!A:D,3,FALSE)</f>
        <v>Pi</v>
      </c>
      <c r="Q243" t="str">
        <f>VLOOKUP(aggregated_results!B243,representatives_list!A:D,4,FALSE)</f>
        <v>c.89.1</v>
      </c>
    </row>
    <row r="244" spans="1:17" x14ac:dyDescent="0.25">
      <c r="A244" t="s">
        <v>64</v>
      </c>
      <c r="B244" t="s">
        <v>36</v>
      </c>
      <c r="C244">
        <v>3</v>
      </c>
      <c r="D244">
        <v>4</v>
      </c>
      <c r="E244">
        <v>102</v>
      </c>
      <c r="F244">
        <v>412</v>
      </c>
      <c r="G244">
        <v>11</v>
      </c>
      <c r="I244" t="str">
        <f t="shared" si="3"/>
        <v/>
      </c>
      <c r="J244" t="str">
        <f>VLOOKUP(aggregated_results!A244,representatives_list!A:D,4,FALSE)</f>
        <v>c.146.1</v>
      </c>
      <c r="K244" t="str">
        <f>VLOOKUP(aggregated_results!A244,representatives_list!A:D,3,FALSE)</f>
        <v>Pi</v>
      </c>
      <c r="L244" t="str">
        <f>VLOOKUP(aggregated_results!A244,representatives_list!A:E,5,FALSE)</f>
        <v>N/A</v>
      </c>
      <c r="M244" t="str">
        <f>VLOOKUP(A244,representatives_list!A:B,2,FALSE)</f>
        <v>YgbK-like</v>
      </c>
      <c r="N244" t="str">
        <f>VLOOKUP(B244,representatives_list!A:B,2,FALSE)</f>
        <v>P-loop containing nucleoside triphosphate hydrolases</v>
      </c>
      <c r="O244" t="str">
        <f>VLOOKUP(aggregated_results!B244,representatives_list!A:E,5,FALSE)</f>
        <v>BG(–)</v>
      </c>
      <c r="P244" t="str">
        <f>VLOOKUP(aggregated_results!B244,representatives_list!A:D,3,FALSE)</f>
        <v>Pi</v>
      </c>
      <c r="Q244" t="str">
        <f>VLOOKUP(aggregated_results!B244,representatives_list!A:D,4,FALSE)</f>
        <v>c.37.1</v>
      </c>
    </row>
    <row r="245" spans="1:17" x14ac:dyDescent="0.25">
      <c r="A245" t="s">
        <v>51</v>
      </c>
      <c r="B245" t="s">
        <v>42</v>
      </c>
      <c r="C245">
        <v>3</v>
      </c>
      <c r="D245">
        <v>4.5</v>
      </c>
      <c r="E245">
        <v>91</v>
      </c>
      <c r="F245">
        <v>537</v>
      </c>
      <c r="G245">
        <v>9</v>
      </c>
      <c r="I245" t="str">
        <f t="shared" si="3"/>
        <v/>
      </c>
      <c r="J245" t="str">
        <f>VLOOKUP(aggregated_results!A245,representatives_list!A:D,4,FALSE)</f>
        <v>a.208.1</v>
      </c>
      <c r="K245" t="str">
        <f>VLOOKUP(aggregated_results!A245,representatives_list!A:D,3,FALSE)</f>
        <v>Pi</v>
      </c>
      <c r="L245" t="str">
        <f>VLOOKUP(aggregated_results!A245,representatives_list!A:E,5,FALSE)</f>
        <v>BG(–)</v>
      </c>
      <c r="M245" t="str">
        <f>VLOOKUP(A245,representatives_list!A:B,2,FALSE)</f>
        <v>DhaL-like</v>
      </c>
      <c r="N245" t="str">
        <f>VLOOKUP(B245,representatives_list!A:B,2,FALSE)</f>
        <v>NAD kinase/diacylglycerol kinase-like</v>
      </c>
      <c r="O245" t="str">
        <f>VLOOKUP(aggregated_results!B245,representatives_list!A:E,5,FALSE)</f>
        <v>ABG(+)</v>
      </c>
      <c r="P245" t="str">
        <f>VLOOKUP(aggregated_results!B245,representatives_list!A:D,3,FALSE)</f>
        <v>Pi</v>
      </c>
      <c r="Q245" t="str">
        <f>VLOOKUP(aggregated_results!B245,representatives_list!A:D,4,FALSE)</f>
        <v>e.52.1</v>
      </c>
    </row>
    <row r="246" spans="1:17" x14ac:dyDescent="0.25">
      <c r="A246" t="s">
        <v>78</v>
      </c>
      <c r="B246" t="s">
        <v>48</v>
      </c>
      <c r="C246">
        <v>3</v>
      </c>
      <c r="D246">
        <v>8.6999999999999993</v>
      </c>
      <c r="E246">
        <v>151</v>
      </c>
      <c r="F246">
        <v>1094</v>
      </c>
      <c r="G246">
        <v>10</v>
      </c>
      <c r="I246" t="str">
        <f t="shared" si="3"/>
        <v/>
      </c>
      <c r="J246" t="str">
        <f>VLOOKUP(aggregated_results!A246,representatives_list!A:D,4,FALSE)</f>
        <v>e.29.1</v>
      </c>
      <c r="K246" t="str">
        <f>VLOOKUP(aggregated_results!A246,representatives_list!A:D,3,FALSE)</f>
        <v>PPi</v>
      </c>
      <c r="L246" t="str">
        <f>VLOOKUP(aggregated_results!A246,representatives_list!A:E,5,FALSE)</f>
        <v>AB(+)</v>
      </c>
      <c r="M246" t="str">
        <f>VLOOKUP(A246,representatives_list!A:B,2,FALSE)</f>
        <v>beta and beta-prime subunits of DNA dependent RNA-polymerase</v>
      </c>
      <c r="N246" t="str">
        <f>VLOOKUP(B246,representatives_list!A:B,2,FALSE)</f>
        <v>Metal cation-transporting ATPase, ATP-binding domain N</v>
      </c>
      <c r="O246" t="str">
        <f>VLOOKUP(aggregated_results!B246,representatives_list!A:E,5,FALSE)</f>
        <v>BG(–)</v>
      </c>
      <c r="P246" t="str">
        <f>VLOOKUP(aggregated_results!B246,representatives_list!A:D,3,FALSE)</f>
        <v>Pi</v>
      </c>
      <c r="Q246" t="str">
        <f>VLOOKUP(aggregated_results!B246,representatives_list!A:D,4,FALSE)</f>
        <v>d.220.1</v>
      </c>
    </row>
    <row r="247" spans="1:17" x14ac:dyDescent="0.25">
      <c r="A247" t="s">
        <v>22</v>
      </c>
      <c r="B247" t="s">
        <v>83</v>
      </c>
      <c r="C247">
        <v>3</v>
      </c>
      <c r="D247">
        <v>8.6999999999999993</v>
      </c>
      <c r="E247">
        <v>81</v>
      </c>
      <c r="F247">
        <v>368</v>
      </c>
      <c r="G247">
        <v>10</v>
      </c>
      <c r="I247" t="str">
        <f t="shared" si="3"/>
        <v/>
      </c>
      <c r="J247" t="str">
        <f>VLOOKUP(aggregated_results!A247,representatives_list!A:D,4,FALSE)</f>
        <v>c.55.1</v>
      </c>
      <c r="K247" t="str">
        <f>VLOOKUP(aggregated_results!A247,representatives_list!A:D,3,FALSE)</f>
        <v>Pi</v>
      </c>
      <c r="L247" t="str">
        <f>VLOOKUP(aggregated_results!A247,representatives_list!A:E,5,FALSE)</f>
        <v>BG(+)</v>
      </c>
      <c r="M247" t="str">
        <f>VLOOKUP(A247,representatives_list!A:B,2,FALSE)</f>
        <v>Actin-like ATPase domain</v>
      </c>
      <c r="N247" t="str">
        <f>VLOOKUP(B247,representatives_list!A:B,2,FALSE)</f>
        <v>CofE-like</v>
      </c>
      <c r="O247" t="str">
        <f>VLOOKUP(aggregated_results!B247,representatives_list!A:E,5,FALSE)</f>
        <v>ABG(+)</v>
      </c>
      <c r="P247" t="str">
        <f>VLOOKUP(aggregated_results!B247,representatives_list!A:D,3,FALSE)</f>
        <v>Pi</v>
      </c>
      <c r="Q247" t="str">
        <f>VLOOKUP(aggregated_results!B247,representatives_list!A:D,4,FALSE)</f>
        <v>d.340.1</v>
      </c>
    </row>
    <row r="248" spans="1:17" x14ac:dyDescent="0.25">
      <c r="A248" t="s">
        <v>29</v>
      </c>
      <c r="B248" t="s">
        <v>35</v>
      </c>
      <c r="C248">
        <v>2.9</v>
      </c>
      <c r="D248">
        <v>4</v>
      </c>
      <c r="E248">
        <v>107</v>
      </c>
      <c r="F248">
        <v>309</v>
      </c>
      <c r="G248">
        <v>9</v>
      </c>
      <c r="I248" t="str">
        <f t="shared" si="3"/>
        <v/>
      </c>
      <c r="J248" t="str">
        <f>VLOOKUP(aggregated_results!A248,representatives_list!A:D,4,FALSE)</f>
        <v>c.61.1</v>
      </c>
      <c r="K248" t="str">
        <f>VLOOKUP(aggregated_results!A248,representatives_list!A:D,3,FALSE)</f>
        <v>PPi</v>
      </c>
      <c r="L248" t="str">
        <f>VLOOKUP(aggregated_results!A248,representatives_list!A:E,5,FALSE)</f>
        <v>ABG(+)</v>
      </c>
      <c r="M248" t="str">
        <f>VLOOKUP(A248,representatives_list!A:B,2,FALSE)</f>
        <v>PRTase-like</v>
      </c>
      <c r="N248" t="str">
        <f>VLOOKUP(B248,representatives_list!A:B,2,FALSE)</f>
        <v>Phosphoglycerate kinase</v>
      </c>
      <c r="O248" t="str">
        <f>VLOOKUP(aggregated_results!B248,representatives_list!A:E,5,FALSE)</f>
        <v>ABG(–)</v>
      </c>
      <c r="P248" t="str">
        <f>VLOOKUP(aggregated_results!B248,representatives_list!A:D,3,FALSE)</f>
        <v>Pi</v>
      </c>
      <c r="Q248" t="str">
        <f>VLOOKUP(aggregated_results!B248,representatives_list!A:D,4,FALSE)</f>
        <v>c.86.1</v>
      </c>
    </row>
    <row r="249" spans="1:17" x14ac:dyDescent="0.25">
      <c r="A249" t="s">
        <v>82</v>
      </c>
      <c r="B249" t="s">
        <v>20</v>
      </c>
      <c r="C249">
        <v>2.9</v>
      </c>
      <c r="D249">
        <v>21.9</v>
      </c>
      <c r="E249">
        <v>102</v>
      </c>
      <c r="F249">
        <v>933</v>
      </c>
      <c r="G249">
        <v>10</v>
      </c>
      <c r="I249" t="e">
        <f t="shared" si="3"/>
        <v>#N/A</v>
      </c>
      <c r="J249" t="str">
        <f>VLOOKUP(aggregated_results!A249,representatives_list!A:D,4,FALSE)</f>
        <v>N/A</v>
      </c>
      <c r="K249" t="str">
        <f>VLOOKUP(aggregated_results!A249,representatives_list!A:D,3,FALSE)</f>
        <v>PPi</v>
      </c>
      <c r="L249" t="str">
        <f>VLOOKUP(aggregated_results!A249,representatives_list!A:E,5,FALSE)</f>
        <v>ABG(–)</v>
      </c>
      <c r="M249" t="str">
        <f>VLOOKUP(A249,representatives_list!A:B,2,FALSE)</f>
        <v>RNA-dependent RNA polymerase, eukaryotic-type</v>
      </c>
      <c r="N249" t="str">
        <f>VLOOKUP(B249,representatives_list!A:B,2,FALSE)</f>
        <v>Bacterial DNA polymerase III, alpha subunit, NTPase domain</v>
      </c>
      <c r="O249" t="str">
        <f>VLOOKUP(aggregated_results!B249,representatives_list!A:E,5,FALSE)</f>
        <v>ABG(–)</v>
      </c>
      <c r="P249" t="str">
        <f>VLOOKUP(aggregated_results!B249,representatives_list!A:D,3,FALSE)</f>
        <v>PPi</v>
      </c>
      <c r="Q249" t="str">
        <f>VLOOKUP(aggregated_results!B249,representatives_list!A:D,4,FALSE)</f>
        <v>N/A</v>
      </c>
    </row>
    <row r="250" spans="1:17" x14ac:dyDescent="0.25">
      <c r="A250" t="s">
        <v>27</v>
      </c>
      <c r="B250" t="s">
        <v>37</v>
      </c>
      <c r="C250">
        <v>2.9</v>
      </c>
      <c r="D250">
        <v>3.7</v>
      </c>
      <c r="E250">
        <v>114</v>
      </c>
      <c r="F250">
        <v>304</v>
      </c>
      <c r="G250">
        <v>4</v>
      </c>
      <c r="I250" t="str">
        <f t="shared" si="3"/>
        <v/>
      </c>
      <c r="J250" t="str">
        <f>VLOOKUP(aggregated_results!A250,representatives_list!A:D,4,FALSE)</f>
        <v>c.72.3</v>
      </c>
      <c r="K250" t="str">
        <f>VLOOKUP(aggregated_results!A250,representatives_list!A:D,3,FALSE)</f>
        <v>PPi</v>
      </c>
      <c r="L250" t="str">
        <f>VLOOKUP(aggregated_results!A250,representatives_list!A:E,5,FALSE)</f>
        <v>ABG(–)</v>
      </c>
      <c r="M250" t="str">
        <f>VLOOKUP(A250,representatives_list!A:B,2,FALSE)</f>
        <v>CoaB-like</v>
      </c>
      <c r="N250" t="str">
        <f>VLOOKUP(B250,representatives_list!A:B,2,FALSE)</f>
        <v>Phosphofructokinase</v>
      </c>
      <c r="O250" t="str">
        <f>VLOOKUP(aggregated_results!B250,representatives_list!A:E,5,FALSE)</f>
        <v>ABG(–)</v>
      </c>
      <c r="P250" t="str">
        <f>VLOOKUP(aggregated_results!B250,representatives_list!A:D,3,FALSE)</f>
        <v>Pi</v>
      </c>
      <c r="Q250" t="str">
        <f>VLOOKUP(aggregated_results!B250,representatives_list!A:D,4,FALSE)</f>
        <v>c.89.1</v>
      </c>
    </row>
    <row r="251" spans="1:17" x14ac:dyDescent="0.25">
      <c r="A251" t="s">
        <v>68</v>
      </c>
      <c r="B251" t="s">
        <v>39</v>
      </c>
      <c r="C251">
        <v>2.9</v>
      </c>
      <c r="D251">
        <v>6</v>
      </c>
      <c r="E251">
        <v>62</v>
      </c>
      <c r="F251">
        <v>110</v>
      </c>
      <c r="G251">
        <v>10</v>
      </c>
      <c r="I251" t="str">
        <f t="shared" si="3"/>
        <v/>
      </c>
      <c r="J251" t="str">
        <f>VLOOKUP(aggregated_results!A251,representatives_list!A:D,4,FALSE)</f>
        <v>a.204.1</v>
      </c>
      <c r="K251" t="str">
        <f>VLOOKUP(aggregated_results!A251,representatives_list!A:D,3,FALSE)</f>
        <v>PPi</v>
      </c>
      <c r="L251" t="str">
        <f>VLOOKUP(aggregated_results!A251,representatives_list!A:E,5,FALSE)</f>
        <v>ABG(+)</v>
      </c>
      <c r="M251" t="str">
        <f>VLOOKUP(A251,representatives_list!A:B,2,FALSE)</f>
        <v>all-alpha NTP pyrophosphatases</v>
      </c>
      <c r="N251" t="str">
        <f>VLOOKUP(B251,representatives_list!A:B,2,FALSE)</f>
        <v>Adenylylcyclase toxin (the edema factor)</v>
      </c>
      <c r="O251" t="str">
        <f>VLOOKUP(aggregated_results!B251,representatives_list!A:E,5,FALSE)</f>
        <v>AB(–)</v>
      </c>
      <c r="P251" t="str">
        <f>VLOOKUP(aggregated_results!B251,representatives_list!A:D,3,FALSE)</f>
        <v>PPi</v>
      </c>
      <c r="Q251" t="str">
        <f>VLOOKUP(aggregated_results!B251,representatives_list!A:D,4,FALSE)</f>
        <v>e.41.1</v>
      </c>
    </row>
    <row r="252" spans="1:17" x14ac:dyDescent="0.25">
      <c r="A252" t="s">
        <v>77</v>
      </c>
      <c r="B252" t="s">
        <v>25</v>
      </c>
      <c r="C252">
        <v>2.9</v>
      </c>
      <c r="D252">
        <v>8.4</v>
      </c>
      <c r="E252">
        <v>97</v>
      </c>
      <c r="F252">
        <v>329</v>
      </c>
      <c r="G252">
        <v>7</v>
      </c>
      <c r="I252" t="str">
        <f t="shared" si="3"/>
        <v/>
      </c>
      <c r="J252" t="str">
        <f>VLOOKUP(aggregated_results!A252,representatives_list!A:D,4,FALSE)</f>
        <v>d.218.1</v>
      </c>
      <c r="K252" t="str">
        <f>VLOOKUP(aggregated_results!A252,representatives_list!A:D,3,FALSE)</f>
        <v>PPi</v>
      </c>
      <c r="L252" t="str">
        <f>VLOOKUP(aggregated_results!A252,representatives_list!A:E,5,FALSE)</f>
        <v>ABG(–)</v>
      </c>
      <c r="M252" t="str">
        <f>VLOOKUP(A252,representatives_list!A:B,2,FALSE)</f>
        <v>Nucleotidyltransferase</v>
      </c>
      <c r="N252" t="str">
        <f>VLOOKUP(B252,representatives_list!A:B,2,FALSE)</f>
        <v>Carbamate kinase-like</v>
      </c>
      <c r="O252" t="str">
        <f>VLOOKUP(aggregated_results!B252,representatives_list!A:E,5,FALSE)</f>
        <v>ABG(+)</v>
      </c>
      <c r="P252" t="str">
        <f>VLOOKUP(aggregated_results!B252,representatives_list!A:D,3,FALSE)</f>
        <v>Pi</v>
      </c>
      <c r="Q252" t="str">
        <f>VLOOKUP(aggregated_results!B252,representatives_list!A:D,4,FALSE)</f>
        <v>c.73.1</v>
      </c>
    </row>
    <row r="253" spans="1:17" x14ac:dyDescent="0.25">
      <c r="A253" t="s">
        <v>23</v>
      </c>
      <c r="B253" t="s">
        <v>51</v>
      </c>
      <c r="C253">
        <v>2.9</v>
      </c>
      <c r="D253">
        <v>6</v>
      </c>
      <c r="E253">
        <v>116</v>
      </c>
      <c r="F253">
        <v>307</v>
      </c>
      <c r="G253">
        <v>13</v>
      </c>
      <c r="I253" t="str">
        <f t="shared" si="3"/>
        <v/>
      </c>
      <c r="J253" t="str">
        <f>VLOOKUP(aggregated_results!A253,representatives_list!A:D,4,FALSE)</f>
        <v>c.72.2</v>
      </c>
      <c r="K253" t="str">
        <f>VLOOKUP(aggregated_results!A253,representatives_list!A:D,3,FALSE)</f>
        <v>Pi</v>
      </c>
      <c r="L253" t="str">
        <f>VLOOKUP(aggregated_results!A253,representatives_list!A:E,5,FALSE)</f>
        <v>BG(–)</v>
      </c>
      <c r="M253" t="str">
        <f>VLOOKUP(A253,representatives_list!A:B,2,FALSE)</f>
        <v>MurD-like peptide ligases, catalytic domain</v>
      </c>
      <c r="N253" t="str">
        <f>VLOOKUP(B253,representatives_list!A:B,2,FALSE)</f>
        <v>DhaL-like</v>
      </c>
      <c r="O253" t="str">
        <f>VLOOKUP(aggregated_results!B253,representatives_list!A:E,5,FALSE)</f>
        <v>BG(–)</v>
      </c>
      <c r="P253" t="str">
        <f>VLOOKUP(aggregated_results!B253,representatives_list!A:D,3,FALSE)</f>
        <v>Pi</v>
      </c>
      <c r="Q253" t="str">
        <f>VLOOKUP(aggregated_results!B253,representatives_list!A:D,4,FALSE)</f>
        <v>a.208.1</v>
      </c>
    </row>
    <row r="254" spans="1:17" x14ac:dyDescent="0.25">
      <c r="A254" t="s">
        <v>54</v>
      </c>
      <c r="B254" t="s">
        <v>37</v>
      </c>
      <c r="C254">
        <v>2.9</v>
      </c>
      <c r="D254">
        <v>4.8</v>
      </c>
      <c r="E254">
        <v>118</v>
      </c>
      <c r="F254">
        <v>317</v>
      </c>
      <c r="G254">
        <v>10</v>
      </c>
      <c r="I254" t="str">
        <f t="shared" si="3"/>
        <v/>
      </c>
      <c r="J254" t="str">
        <f>VLOOKUP(aggregated_results!A254,representatives_list!A:D,4,FALSE)</f>
        <v>d.142.1</v>
      </c>
      <c r="K254" t="str">
        <f>VLOOKUP(aggregated_results!A254,representatives_list!A:D,3,FALSE)</f>
        <v>Pi</v>
      </c>
      <c r="L254" t="str">
        <f>VLOOKUP(aggregated_results!A254,representatives_list!A:E,5,FALSE)</f>
        <v>BG(–)</v>
      </c>
      <c r="M254" t="str">
        <f>VLOOKUP(A254,representatives_list!A:B,2,FALSE)</f>
        <v>Glutathione synthetase ATP-binding domain-like</v>
      </c>
      <c r="N254" t="str">
        <f>VLOOKUP(B254,representatives_list!A:B,2,FALSE)</f>
        <v>Phosphofructokinase</v>
      </c>
      <c r="O254" t="str">
        <f>VLOOKUP(aggregated_results!B254,representatives_list!A:E,5,FALSE)</f>
        <v>ABG(–)</v>
      </c>
      <c r="P254" t="str">
        <f>VLOOKUP(aggregated_results!B254,representatives_list!A:D,3,FALSE)</f>
        <v>Pi</v>
      </c>
      <c r="Q254" t="str">
        <f>VLOOKUP(aggregated_results!B254,representatives_list!A:D,4,FALSE)</f>
        <v>c.89.1</v>
      </c>
    </row>
    <row r="255" spans="1:17" x14ac:dyDescent="0.25">
      <c r="A255" t="s">
        <v>52</v>
      </c>
      <c r="B255" t="s">
        <v>31</v>
      </c>
      <c r="C255">
        <v>2.9</v>
      </c>
      <c r="D255">
        <v>13.3</v>
      </c>
      <c r="E255">
        <v>91</v>
      </c>
      <c r="F255">
        <v>304</v>
      </c>
      <c r="G255">
        <v>5</v>
      </c>
      <c r="I255" t="str">
        <f t="shared" si="3"/>
        <v/>
      </c>
      <c r="J255" t="str">
        <f>VLOOKUP(aggregated_results!A255,representatives_list!A:D,4,FALSE)</f>
        <v>d.79.4</v>
      </c>
      <c r="K255" t="str">
        <f>VLOOKUP(aggregated_results!A255,representatives_list!A:D,3,FALSE)</f>
        <v>Pi</v>
      </c>
      <c r="L255" t="str">
        <f>VLOOKUP(aggregated_results!A255,representatives_list!A:E,5,FALSE)</f>
        <v>ABG(+)</v>
      </c>
      <c r="M255" t="str">
        <f>VLOOKUP(A255,representatives_list!A:B,2,FALSE)</f>
        <v>PurM N-terminal domain-like</v>
      </c>
      <c r="N255" t="str">
        <f>VLOOKUP(B255,representatives_list!A:B,2,FALSE)</f>
        <v>GHMP Kinase, C-terminal domain</v>
      </c>
      <c r="O255" t="str">
        <f>VLOOKUP(aggregated_results!B255,representatives_list!A:E,5,FALSE)</f>
        <v>ABG(+)</v>
      </c>
      <c r="P255" t="str">
        <f>VLOOKUP(aggregated_results!B255,representatives_list!A:D,3,FALSE)</f>
        <v>Pi</v>
      </c>
      <c r="Q255" t="str">
        <f>VLOOKUP(aggregated_results!B255,representatives_list!A:D,4,FALSE)</f>
        <v>d.58.26</v>
      </c>
    </row>
    <row r="256" spans="1:17" x14ac:dyDescent="0.25">
      <c r="A256" t="s">
        <v>55</v>
      </c>
      <c r="B256" t="s">
        <v>54</v>
      </c>
      <c r="C256">
        <v>2.9</v>
      </c>
      <c r="D256">
        <v>3.9</v>
      </c>
      <c r="E256">
        <v>86</v>
      </c>
      <c r="F256">
        <v>321</v>
      </c>
      <c r="G256">
        <v>7</v>
      </c>
      <c r="I256" t="str">
        <f t="shared" si="3"/>
        <v/>
      </c>
      <c r="J256" t="str">
        <f>VLOOKUP(aggregated_results!A256,representatives_list!A:D,4,FALSE)</f>
        <v>e.13.1</v>
      </c>
      <c r="K256" t="str">
        <f>VLOOKUP(aggregated_results!A256,representatives_list!A:D,3,FALSE)</f>
        <v>PPi</v>
      </c>
      <c r="L256" t="str">
        <f>VLOOKUP(aggregated_results!A256,representatives_list!A:E,5,FALSE)</f>
        <v>AB(–)</v>
      </c>
      <c r="M256" t="str">
        <f>VLOOKUP(A256,representatives_list!A:B,2,FALSE)</f>
        <v>DNA primase core</v>
      </c>
      <c r="N256" t="str">
        <f>VLOOKUP(B256,representatives_list!A:B,2,FALSE)</f>
        <v>Glutathione synthetase ATP-binding domain-like</v>
      </c>
      <c r="O256" t="str">
        <f>VLOOKUP(aggregated_results!B256,representatives_list!A:E,5,FALSE)</f>
        <v>BG(–)</v>
      </c>
      <c r="P256" t="str">
        <f>VLOOKUP(aggregated_results!B256,representatives_list!A:D,3,FALSE)</f>
        <v>Pi</v>
      </c>
      <c r="Q256" t="str">
        <f>VLOOKUP(aggregated_results!B256,representatives_list!A:D,4,FALSE)</f>
        <v>d.142.1</v>
      </c>
    </row>
    <row r="257" spans="1:17" x14ac:dyDescent="0.25">
      <c r="A257" t="s">
        <v>55</v>
      </c>
      <c r="B257" t="s">
        <v>43</v>
      </c>
      <c r="C257">
        <v>2.9</v>
      </c>
      <c r="D257">
        <v>10</v>
      </c>
      <c r="E257">
        <v>96</v>
      </c>
      <c r="F257">
        <v>321</v>
      </c>
      <c r="G257">
        <v>2</v>
      </c>
      <c r="I257" t="str">
        <f t="shared" si="3"/>
        <v/>
      </c>
      <c r="J257" t="str">
        <f>VLOOKUP(aggregated_results!A257,representatives_list!A:D,4,FALSE)</f>
        <v>e.13.1</v>
      </c>
      <c r="K257" t="str">
        <f>VLOOKUP(aggregated_results!A257,representatives_list!A:D,3,FALSE)</f>
        <v>PPi</v>
      </c>
      <c r="L257" t="str">
        <f>VLOOKUP(aggregated_results!A257,representatives_list!A:E,5,FALSE)</f>
        <v>AB(–)</v>
      </c>
      <c r="M257" t="str">
        <f>VLOOKUP(A257,representatives_list!A:B,2,FALSE)</f>
        <v>DNA primase core</v>
      </c>
      <c r="N257" t="str">
        <f>VLOOKUP(B257,representatives_list!A:B,2,FALSE)</f>
        <v>Nicotinate/Quinolinate PRTase C-terminal domain-like</v>
      </c>
      <c r="O257" t="str">
        <f>VLOOKUP(aggregated_results!B257,representatives_list!A:E,5,FALSE)</f>
        <v>N/A</v>
      </c>
      <c r="P257" t="str">
        <f>VLOOKUP(aggregated_results!B257,representatives_list!A:D,3,FALSE)</f>
        <v>Pi</v>
      </c>
      <c r="Q257" t="str">
        <f>VLOOKUP(aggregated_results!B257,representatives_list!A:D,4,FALSE)</f>
        <v>c.1.17</v>
      </c>
    </row>
    <row r="258" spans="1:17" x14ac:dyDescent="0.25">
      <c r="A258" t="s">
        <v>66</v>
      </c>
      <c r="B258" t="s">
        <v>19</v>
      </c>
      <c r="C258">
        <v>2.9</v>
      </c>
      <c r="D258">
        <v>7.4</v>
      </c>
      <c r="E258">
        <v>85</v>
      </c>
      <c r="F258">
        <v>146</v>
      </c>
      <c r="G258">
        <v>8</v>
      </c>
      <c r="I258" t="e">
        <f t="shared" si="3"/>
        <v>#N/A</v>
      </c>
      <c r="J258" t="str">
        <f>VLOOKUP(aggregated_results!A258,representatives_list!A:D,4,FALSE)</f>
        <v>d.58.21</v>
      </c>
      <c r="K258" t="str">
        <f>VLOOKUP(aggregated_results!A258,representatives_list!A:D,3,FALSE)</f>
        <v>PPi</v>
      </c>
      <c r="L258" t="str">
        <f>VLOOKUP(aggregated_results!A258,representatives_list!A:E,5,FALSE)</f>
        <v>N/A</v>
      </c>
      <c r="M258" t="str">
        <f>VLOOKUP(A258,representatives_list!A:B,2,FALSE)</f>
        <v>Molybdenum cofactor biosynthesis protein C, MoaC</v>
      </c>
      <c r="N258" t="str">
        <f>VLOOKUP(B258,representatives_list!A:B,2,FALSE)</f>
        <v>tRNA(Ile2) 2-agmatinylcytidine synthetase TiaS</v>
      </c>
      <c r="O258" t="str">
        <f>VLOOKUP(aggregated_results!B258,representatives_list!A:E,5,FALSE)</f>
        <v>N/A</v>
      </c>
      <c r="P258" t="str">
        <f>VLOOKUP(aggregated_results!B258,representatives_list!A:D,3,FALSE)</f>
        <v>PPi</v>
      </c>
      <c r="Q258" t="str">
        <f>VLOOKUP(aggregated_results!B258,representatives_list!A:D,4,FALSE)</f>
        <v>N/A</v>
      </c>
    </row>
    <row r="259" spans="1:17" x14ac:dyDescent="0.25">
      <c r="A259" t="s">
        <v>37</v>
      </c>
      <c r="B259" t="s">
        <v>41</v>
      </c>
      <c r="C259">
        <v>2.9</v>
      </c>
      <c r="D259">
        <v>12.7</v>
      </c>
      <c r="E259">
        <v>127</v>
      </c>
      <c r="F259">
        <v>458</v>
      </c>
      <c r="G259">
        <v>11</v>
      </c>
      <c r="I259" t="str">
        <f t="shared" ref="I259:I322" si="4">IF(_xlfn.TEXTBEFORE(J259,".",2,0,1)=_xlfn.TEXTBEFORE(Q259,".",2,0,1),"x","")</f>
        <v/>
      </c>
      <c r="J259" t="str">
        <f>VLOOKUP(aggregated_results!A259,representatives_list!A:D,4,FALSE)</f>
        <v>c.89.1</v>
      </c>
      <c r="K259" t="str">
        <f>VLOOKUP(aggregated_results!A259,representatives_list!A:D,3,FALSE)</f>
        <v>Pi</v>
      </c>
      <c r="L259" t="str">
        <f>VLOOKUP(aggregated_results!A259,representatives_list!A:E,5,FALSE)</f>
        <v>ABG(–)</v>
      </c>
      <c r="M259" t="str">
        <f>VLOOKUP(A259,representatives_list!A:B,2,FALSE)</f>
        <v>Phosphofructokinase</v>
      </c>
      <c r="N259" t="str">
        <f>VLOOKUP(B259,representatives_list!A:B,2,FALSE)</f>
        <v>Molybdenum cofactor biosynthesis proteins</v>
      </c>
      <c r="O259" t="str">
        <f>VLOOKUP(aggregated_results!B259,representatives_list!A:E,5,FALSE)</f>
        <v>ABG(–)</v>
      </c>
      <c r="P259" t="str">
        <f>VLOOKUP(aggregated_results!B259,representatives_list!A:D,3,FALSE)</f>
        <v>Pi</v>
      </c>
      <c r="Q259" t="str">
        <f>VLOOKUP(aggregated_results!B259,representatives_list!A:D,4,FALSE)</f>
        <v>c.57.1</v>
      </c>
    </row>
    <row r="260" spans="1:17" x14ac:dyDescent="0.25">
      <c r="A260" t="s">
        <v>19</v>
      </c>
      <c r="B260" t="s">
        <v>49</v>
      </c>
      <c r="C260">
        <v>2.9</v>
      </c>
      <c r="D260">
        <v>5.4</v>
      </c>
      <c r="E260">
        <v>103</v>
      </c>
      <c r="F260">
        <v>417</v>
      </c>
      <c r="G260">
        <v>5</v>
      </c>
      <c r="I260" t="e">
        <f t="shared" si="4"/>
        <v>#N/A</v>
      </c>
      <c r="J260" t="str">
        <f>VLOOKUP(aggregated_results!A260,representatives_list!A:D,4,FALSE)</f>
        <v>N/A</v>
      </c>
      <c r="K260" t="str">
        <f>VLOOKUP(aggregated_results!A260,representatives_list!A:D,3,FALSE)</f>
        <v>PPi</v>
      </c>
      <c r="L260" t="str">
        <f>VLOOKUP(aggregated_results!A260,representatives_list!A:E,5,FALSE)</f>
        <v>N/A</v>
      </c>
      <c r="M260" t="str">
        <f>VLOOKUP(A260,representatives_list!A:B,2,FALSE)</f>
        <v>tRNA(Ile2) 2-agmatinylcytidine synthetase TiaS</v>
      </c>
      <c r="N260" t="str">
        <f>VLOOKUP(B260,representatives_list!A:B,2,FALSE)</f>
        <v>Influenza RNA-dependent RNA polymerase subunit PB1</v>
      </c>
      <c r="O260" t="str">
        <f>VLOOKUP(aggregated_results!B260,representatives_list!A:E,5,FALSE)</f>
        <v>ABG(–)</v>
      </c>
      <c r="P260" t="str">
        <f>VLOOKUP(aggregated_results!B260,representatives_list!A:D,3,FALSE)</f>
        <v>PPi</v>
      </c>
      <c r="Q260" t="str">
        <f>VLOOKUP(aggregated_results!B260,representatives_list!A:D,4,FALSE)</f>
        <v>N/A</v>
      </c>
    </row>
    <row r="261" spans="1:17" x14ac:dyDescent="0.25">
      <c r="A261" t="s">
        <v>24</v>
      </c>
      <c r="B261" t="s">
        <v>37</v>
      </c>
      <c r="C261">
        <v>2.9</v>
      </c>
      <c r="D261">
        <v>5.5</v>
      </c>
      <c r="E261">
        <v>109</v>
      </c>
      <c r="F261">
        <v>315</v>
      </c>
      <c r="G261">
        <v>10</v>
      </c>
      <c r="I261" t="str">
        <f t="shared" si="4"/>
        <v/>
      </c>
      <c r="J261" t="str">
        <f>VLOOKUP(aggregated_results!A261,representatives_list!A:D,4,FALSE)</f>
        <v>c.72.1</v>
      </c>
      <c r="K261" t="str">
        <f>VLOOKUP(aggregated_results!A261,representatives_list!A:D,3,FALSE)</f>
        <v>Pi</v>
      </c>
      <c r="L261" t="str">
        <f>VLOOKUP(aggregated_results!A261,representatives_list!A:E,5,FALSE)</f>
        <v>BG(–)</v>
      </c>
      <c r="M261" t="str">
        <f>VLOOKUP(A261,representatives_list!A:B,2,FALSE)</f>
        <v>Ribokinase-like</v>
      </c>
      <c r="N261" t="str">
        <f>VLOOKUP(B261,representatives_list!A:B,2,FALSE)</f>
        <v>Phosphofructokinase</v>
      </c>
      <c r="O261" t="str">
        <f>VLOOKUP(aggregated_results!B261,representatives_list!A:E,5,FALSE)</f>
        <v>ABG(–)</v>
      </c>
      <c r="P261" t="str">
        <f>VLOOKUP(aggregated_results!B261,representatives_list!A:D,3,FALSE)</f>
        <v>Pi</v>
      </c>
      <c r="Q261" t="str">
        <f>VLOOKUP(aggregated_results!B261,representatives_list!A:D,4,FALSE)</f>
        <v>c.89.1</v>
      </c>
    </row>
    <row r="262" spans="1:17" x14ac:dyDescent="0.25">
      <c r="A262" t="s">
        <v>51</v>
      </c>
      <c r="B262" t="s">
        <v>56</v>
      </c>
      <c r="C262">
        <v>2.9</v>
      </c>
      <c r="D262">
        <v>7.1</v>
      </c>
      <c r="E262">
        <v>98</v>
      </c>
      <c r="F262">
        <v>537</v>
      </c>
      <c r="G262">
        <v>13</v>
      </c>
      <c r="I262" t="str">
        <f t="shared" si="4"/>
        <v/>
      </c>
      <c r="J262" t="str">
        <f>VLOOKUP(aggregated_results!A262,representatives_list!A:D,4,FALSE)</f>
        <v>a.208.1</v>
      </c>
      <c r="K262" t="str">
        <f>VLOOKUP(aggregated_results!A262,representatives_list!A:D,3,FALSE)</f>
        <v>Pi</v>
      </c>
      <c r="L262" t="str">
        <f>VLOOKUP(aggregated_results!A262,representatives_list!A:E,5,FALSE)</f>
        <v>BG(–)</v>
      </c>
      <c r="M262" t="str">
        <f>VLOOKUP(A262,representatives_list!A:B,2,FALSE)</f>
        <v>DhaL-like</v>
      </c>
      <c r="N262" t="str">
        <f>VLOOKUP(B262,representatives_list!A:B,2,FALSE)</f>
        <v>GroEL equatorial domain-like</v>
      </c>
      <c r="O262" t="str">
        <f>VLOOKUP(aggregated_results!B262,representatives_list!A:E,5,FALSE)</f>
        <v>ABG(+)</v>
      </c>
      <c r="P262" t="str">
        <f>VLOOKUP(aggregated_results!B262,representatives_list!A:D,3,FALSE)</f>
        <v>Pi</v>
      </c>
      <c r="Q262" t="str">
        <f>VLOOKUP(aggregated_results!B262,representatives_list!A:D,4,FALSE)</f>
        <v>a.129.1</v>
      </c>
    </row>
    <row r="263" spans="1:17" x14ac:dyDescent="0.25">
      <c r="A263" t="s">
        <v>39</v>
      </c>
      <c r="B263" t="s">
        <v>31</v>
      </c>
      <c r="C263">
        <v>2.9</v>
      </c>
      <c r="D263">
        <v>4.7</v>
      </c>
      <c r="E263">
        <v>106</v>
      </c>
      <c r="F263">
        <v>485</v>
      </c>
      <c r="G263">
        <v>7</v>
      </c>
      <c r="I263" t="str">
        <f t="shared" si="4"/>
        <v/>
      </c>
      <c r="J263" t="str">
        <f>VLOOKUP(aggregated_results!A263,representatives_list!A:D,4,FALSE)</f>
        <v>e.41.1</v>
      </c>
      <c r="K263" t="str">
        <f>VLOOKUP(aggregated_results!A263,representatives_list!A:D,3,FALSE)</f>
        <v>PPi</v>
      </c>
      <c r="L263" t="str">
        <f>VLOOKUP(aggregated_results!A263,representatives_list!A:E,5,FALSE)</f>
        <v>AB(–)</v>
      </c>
      <c r="M263" t="str">
        <f>VLOOKUP(A263,representatives_list!A:B,2,FALSE)</f>
        <v>Adenylylcyclase toxin (the edema factor)</v>
      </c>
      <c r="N263" t="str">
        <f>VLOOKUP(B263,representatives_list!A:B,2,FALSE)</f>
        <v>GHMP Kinase, C-terminal domain</v>
      </c>
      <c r="O263" t="str">
        <f>VLOOKUP(aggregated_results!B263,representatives_list!A:E,5,FALSE)</f>
        <v>ABG(+)</v>
      </c>
      <c r="P263" t="str">
        <f>VLOOKUP(aggregated_results!B263,representatives_list!A:D,3,FALSE)</f>
        <v>Pi</v>
      </c>
      <c r="Q263" t="str">
        <f>VLOOKUP(aggregated_results!B263,representatives_list!A:D,4,FALSE)</f>
        <v>d.58.26</v>
      </c>
    </row>
    <row r="264" spans="1:17" x14ac:dyDescent="0.25">
      <c r="A264" t="s">
        <v>39</v>
      </c>
      <c r="B264" t="s">
        <v>51</v>
      </c>
      <c r="C264">
        <v>2.9</v>
      </c>
      <c r="D264">
        <v>10.4</v>
      </c>
      <c r="E264">
        <v>108</v>
      </c>
      <c r="F264">
        <v>485</v>
      </c>
      <c r="G264">
        <v>11</v>
      </c>
      <c r="I264" t="str">
        <f t="shared" si="4"/>
        <v/>
      </c>
      <c r="J264" t="str">
        <f>VLOOKUP(aggregated_results!A264,representatives_list!A:D,4,FALSE)</f>
        <v>e.41.1</v>
      </c>
      <c r="K264" t="str">
        <f>VLOOKUP(aggregated_results!A264,representatives_list!A:D,3,FALSE)</f>
        <v>PPi</v>
      </c>
      <c r="L264" t="str">
        <f>VLOOKUP(aggregated_results!A264,representatives_list!A:E,5,FALSE)</f>
        <v>AB(–)</v>
      </c>
      <c r="M264" t="str">
        <f>VLOOKUP(A264,representatives_list!A:B,2,FALSE)</f>
        <v>Adenylylcyclase toxin (the edema factor)</v>
      </c>
      <c r="N264" t="str">
        <f>VLOOKUP(B264,representatives_list!A:B,2,FALSE)</f>
        <v>DhaL-like</v>
      </c>
      <c r="O264" t="str">
        <f>VLOOKUP(aggregated_results!B264,representatives_list!A:E,5,FALSE)</f>
        <v>BG(–)</v>
      </c>
      <c r="P264" t="str">
        <f>VLOOKUP(aggregated_results!B264,representatives_list!A:D,3,FALSE)</f>
        <v>Pi</v>
      </c>
      <c r="Q264" t="str">
        <f>VLOOKUP(aggregated_results!B264,representatives_list!A:D,4,FALSE)</f>
        <v>a.208.1</v>
      </c>
    </row>
    <row r="265" spans="1:17" x14ac:dyDescent="0.25">
      <c r="A265" t="s">
        <v>36</v>
      </c>
      <c r="B265" t="s">
        <v>51</v>
      </c>
      <c r="C265">
        <v>2.9</v>
      </c>
      <c r="D265">
        <v>3.2</v>
      </c>
      <c r="E265">
        <v>81</v>
      </c>
      <c r="F265">
        <v>166</v>
      </c>
      <c r="G265">
        <v>10</v>
      </c>
      <c r="I265" t="str">
        <f t="shared" si="4"/>
        <v/>
      </c>
      <c r="J265" t="str">
        <f>VLOOKUP(aggregated_results!A265,representatives_list!A:D,4,FALSE)</f>
        <v>c.37.1</v>
      </c>
      <c r="K265" t="str">
        <f>VLOOKUP(aggregated_results!A265,representatives_list!A:D,3,FALSE)</f>
        <v>Pi</v>
      </c>
      <c r="L265" t="str">
        <f>VLOOKUP(aggregated_results!A265,representatives_list!A:E,5,FALSE)</f>
        <v>BG(–)</v>
      </c>
      <c r="M265" t="str">
        <f>VLOOKUP(A265,representatives_list!A:B,2,FALSE)</f>
        <v>P-loop containing nucleoside triphosphate hydrolases</v>
      </c>
      <c r="N265" t="str">
        <f>VLOOKUP(B265,representatives_list!A:B,2,FALSE)</f>
        <v>DhaL-like</v>
      </c>
      <c r="O265" t="str">
        <f>VLOOKUP(aggregated_results!B265,representatives_list!A:E,5,FALSE)</f>
        <v>BG(–)</v>
      </c>
      <c r="P265" t="str">
        <f>VLOOKUP(aggregated_results!B265,representatives_list!A:D,3,FALSE)</f>
        <v>Pi</v>
      </c>
      <c r="Q265" t="str">
        <f>VLOOKUP(aggregated_results!B265,representatives_list!A:D,4,FALSE)</f>
        <v>a.208.1</v>
      </c>
    </row>
    <row r="266" spans="1:17" x14ac:dyDescent="0.25">
      <c r="A266" t="s">
        <v>29</v>
      </c>
      <c r="B266" t="s">
        <v>22</v>
      </c>
      <c r="C266">
        <v>2.8</v>
      </c>
      <c r="D266">
        <v>4.5999999999999996</v>
      </c>
      <c r="E266">
        <v>110</v>
      </c>
      <c r="F266">
        <v>309</v>
      </c>
      <c r="G266">
        <v>5</v>
      </c>
      <c r="I266" t="str">
        <f t="shared" si="4"/>
        <v/>
      </c>
      <c r="J266" t="str">
        <f>VLOOKUP(aggregated_results!A266,representatives_list!A:D,4,FALSE)</f>
        <v>c.61.1</v>
      </c>
      <c r="K266" t="str">
        <f>VLOOKUP(aggregated_results!A266,representatives_list!A:D,3,FALSE)</f>
        <v>PPi</v>
      </c>
      <c r="L266" t="str">
        <f>VLOOKUP(aggregated_results!A266,representatives_list!A:E,5,FALSE)</f>
        <v>ABG(+)</v>
      </c>
      <c r="M266" t="str">
        <f>VLOOKUP(A266,representatives_list!A:B,2,FALSE)</f>
        <v>PRTase-like</v>
      </c>
      <c r="N266" t="str">
        <f>VLOOKUP(B266,representatives_list!A:B,2,FALSE)</f>
        <v>Actin-like ATPase domain</v>
      </c>
      <c r="O266" t="str">
        <f>VLOOKUP(aggregated_results!B266,representatives_list!A:E,5,FALSE)</f>
        <v>BG(+)</v>
      </c>
      <c r="P266" t="str">
        <f>VLOOKUP(aggregated_results!B266,representatives_list!A:D,3,FALSE)</f>
        <v>Pi</v>
      </c>
      <c r="Q266" t="str">
        <f>VLOOKUP(aggregated_results!B266,representatives_list!A:D,4,FALSE)</f>
        <v>c.55.1</v>
      </c>
    </row>
    <row r="267" spans="1:17" x14ac:dyDescent="0.25">
      <c r="A267" t="s">
        <v>82</v>
      </c>
      <c r="B267" t="s">
        <v>58</v>
      </c>
      <c r="C267">
        <v>2.8</v>
      </c>
      <c r="D267">
        <v>3.3</v>
      </c>
      <c r="E267">
        <v>56</v>
      </c>
      <c r="F267">
        <v>933</v>
      </c>
      <c r="G267">
        <v>7</v>
      </c>
      <c r="I267" t="e">
        <f t="shared" si="4"/>
        <v>#N/A</v>
      </c>
      <c r="J267" t="str">
        <f>VLOOKUP(aggregated_results!A267,representatives_list!A:D,4,FALSE)</f>
        <v>N/A</v>
      </c>
      <c r="K267" t="str">
        <f>VLOOKUP(aggregated_results!A267,representatives_list!A:D,3,FALSE)</f>
        <v>PPi</v>
      </c>
      <c r="L267" t="str">
        <f>VLOOKUP(aggregated_results!A267,representatives_list!A:E,5,FALSE)</f>
        <v>ABG(–)</v>
      </c>
      <c r="M267" t="str">
        <f>VLOOKUP(A267,representatives_list!A:B,2,FALSE)</f>
        <v>RNA-dependent RNA polymerase, eukaryotic-type</v>
      </c>
      <c r="N267" t="str">
        <f>VLOOKUP(B267,representatives_list!A:B,2,FALSE)</f>
        <v>Diacylglycerol kinase (DgkA)-like</v>
      </c>
      <c r="O267" t="str">
        <f>VLOOKUP(aggregated_results!B267,representatives_list!A:E,5,FALSE)</f>
        <v>BG(–)</v>
      </c>
      <c r="P267" t="str">
        <f>VLOOKUP(aggregated_results!B267,representatives_list!A:D,3,FALSE)</f>
        <v>Pi</v>
      </c>
      <c r="Q267" t="str">
        <f>VLOOKUP(aggregated_results!B267,representatives_list!A:D,4,FALSE)</f>
        <v>f.62.1</v>
      </c>
    </row>
    <row r="268" spans="1:17" x14ac:dyDescent="0.25">
      <c r="A268" t="s">
        <v>27</v>
      </c>
      <c r="B268" t="s">
        <v>41</v>
      </c>
      <c r="C268">
        <v>2.8</v>
      </c>
      <c r="D268">
        <v>4</v>
      </c>
      <c r="E268">
        <v>101</v>
      </c>
      <c r="F268">
        <v>304</v>
      </c>
      <c r="G268">
        <v>10</v>
      </c>
      <c r="I268" t="str">
        <f t="shared" si="4"/>
        <v/>
      </c>
      <c r="J268" t="str">
        <f>VLOOKUP(aggregated_results!A268,representatives_list!A:D,4,FALSE)</f>
        <v>c.72.3</v>
      </c>
      <c r="K268" t="str">
        <f>VLOOKUP(aggregated_results!A268,representatives_list!A:D,3,FALSE)</f>
        <v>PPi</v>
      </c>
      <c r="L268" t="str">
        <f>VLOOKUP(aggregated_results!A268,representatives_list!A:E,5,FALSE)</f>
        <v>ABG(–)</v>
      </c>
      <c r="M268" t="str">
        <f>VLOOKUP(A268,representatives_list!A:B,2,FALSE)</f>
        <v>CoaB-like</v>
      </c>
      <c r="N268" t="str">
        <f>VLOOKUP(B268,representatives_list!A:B,2,FALSE)</f>
        <v>Molybdenum cofactor biosynthesis proteins</v>
      </c>
      <c r="O268" t="str">
        <f>VLOOKUP(aggregated_results!B268,representatives_list!A:E,5,FALSE)</f>
        <v>ABG(–)</v>
      </c>
      <c r="P268" t="str">
        <f>VLOOKUP(aggregated_results!B268,representatives_list!A:D,3,FALSE)</f>
        <v>Pi</v>
      </c>
      <c r="Q268" t="str">
        <f>VLOOKUP(aggregated_results!B268,representatives_list!A:D,4,FALSE)</f>
        <v>c.57.1</v>
      </c>
    </row>
    <row r="269" spans="1:17" x14ac:dyDescent="0.25">
      <c r="A269" t="s">
        <v>49</v>
      </c>
      <c r="B269" t="s">
        <v>58</v>
      </c>
      <c r="C269">
        <v>2.8</v>
      </c>
      <c r="D269">
        <v>6.6</v>
      </c>
      <c r="E269">
        <v>52</v>
      </c>
      <c r="F269">
        <v>745</v>
      </c>
      <c r="G269">
        <v>4</v>
      </c>
      <c r="I269" t="e">
        <f t="shared" si="4"/>
        <v>#N/A</v>
      </c>
      <c r="J269" t="str">
        <f>VLOOKUP(aggregated_results!A269,representatives_list!A:D,4,FALSE)</f>
        <v>N/A</v>
      </c>
      <c r="K269" t="str">
        <f>VLOOKUP(aggregated_results!A269,representatives_list!A:D,3,FALSE)</f>
        <v>PPi</v>
      </c>
      <c r="L269" t="str">
        <f>VLOOKUP(aggregated_results!A269,representatives_list!A:E,5,FALSE)</f>
        <v>ABG(–)</v>
      </c>
      <c r="M269" t="str">
        <f>VLOOKUP(A269,representatives_list!A:B,2,FALSE)</f>
        <v>Influenza RNA-dependent RNA polymerase subunit PB1</v>
      </c>
      <c r="N269" t="str">
        <f>VLOOKUP(B269,representatives_list!A:B,2,FALSE)</f>
        <v>Diacylglycerol kinase (DgkA)-like</v>
      </c>
      <c r="O269" t="str">
        <f>VLOOKUP(aggregated_results!B269,representatives_list!A:E,5,FALSE)</f>
        <v>BG(–)</v>
      </c>
      <c r="P269" t="str">
        <f>VLOOKUP(aggregated_results!B269,representatives_list!A:D,3,FALSE)</f>
        <v>Pi</v>
      </c>
      <c r="Q269" t="str">
        <f>VLOOKUP(aggregated_results!B269,representatives_list!A:D,4,FALSE)</f>
        <v>f.62.1</v>
      </c>
    </row>
    <row r="270" spans="1:17" x14ac:dyDescent="0.25">
      <c r="A270" t="s">
        <v>68</v>
      </c>
      <c r="B270" t="s">
        <v>49</v>
      </c>
      <c r="C270">
        <v>2.8</v>
      </c>
      <c r="D270">
        <v>4.4000000000000004</v>
      </c>
      <c r="E270">
        <v>51</v>
      </c>
      <c r="F270">
        <v>110</v>
      </c>
      <c r="G270">
        <v>8</v>
      </c>
      <c r="I270" t="e">
        <f t="shared" si="4"/>
        <v>#N/A</v>
      </c>
      <c r="J270" t="str">
        <f>VLOOKUP(aggregated_results!A270,representatives_list!A:D,4,FALSE)</f>
        <v>a.204.1</v>
      </c>
      <c r="K270" t="str">
        <f>VLOOKUP(aggregated_results!A270,representatives_list!A:D,3,FALSE)</f>
        <v>PPi</v>
      </c>
      <c r="L270" t="str">
        <f>VLOOKUP(aggregated_results!A270,representatives_list!A:E,5,FALSE)</f>
        <v>ABG(+)</v>
      </c>
      <c r="M270" t="str">
        <f>VLOOKUP(A270,representatives_list!A:B,2,FALSE)</f>
        <v>all-alpha NTP pyrophosphatases</v>
      </c>
      <c r="N270" t="str">
        <f>VLOOKUP(B270,representatives_list!A:B,2,FALSE)</f>
        <v>Influenza RNA-dependent RNA polymerase subunit PB1</v>
      </c>
      <c r="O270" t="str">
        <f>VLOOKUP(aggregated_results!B270,representatives_list!A:E,5,FALSE)</f>
        <v>ABG(–)</v>
      </c>
      <c r="P270" t="str">
        <f>VLOOKUP(aggregated_results!B270,representatives_list!A:D,3,FALSE)</f>
        <v>PPi</v>
      </c>
      <c r="Q270" t="str">
        <f>VLOOKUP(aggregated_results!B270,representatives_list!A:D,4,FALSE)</f>
        <v>N/A</v>
      </c>
    </row>
    <row r="271" spans="1:17" x14ac:dyDescent="0.25">
      <c r="A271" t="s">
        <v>68</v>
      </c>
      <c r="B271" t="s">
        <v>53</v>
      </c>
      <c r="C271">
        <v>2.8</v>
      </c>
      <c r="D271">
        <v>5.4</v>
      </c>
      <c r="E271">
        <v>76</v>
      </c>
      <c r="F271">
        <v>110</v>
      </c>
      <c r="G271">
        <v>13</v>
      </c>
      <c r="I271" t="str">
        <f t="shared" si="4"/>
        <v/>
      </c>
      <c r="J271" t="str">
        <f>VLOOKUP(aggregated_results!A271,representatives_list!A:D,4,FALSE)</f>
        <v>a.204.1</v>
      </c>
      <c r="K271" t="str">
        <f>VLOOKUP(aggregated_results!A271,representatives_list!A:D,3,FALSE)</f>
        <v>PPi</v>
      </c>
      <c r="L271" t="str">
        <f>VLOOKUP(aggregated_results!A271,representatives_list!A:E,5,FALSE)</f>
        <v>ABG(+)</v>
      </c>
      <c r="M271" t="str">
        <f>VLOOKUP(A271,representatives_list!A:B,2,FALSE)</f>
        <v>all-alpha NTP pyrophosphatases</v>
      </c>
      <c r="N271" t="str">
        <f>VLOOKUP(B271,representatives_list!A:B,2,FALSE)</f>
        <v>Protein kinase-like (PK-like)</v>
      </c>
      <c r="O271" t="str">
        <f>VLOOKUP(aggregated_results!B271,representatives_list!A:E,5,FALSE)</f>
        <v>BG(–)</v>
      </c>
      <c r="P271" t="str">
        <f>VLOOKUP(aggregated_results!B271,representatives_list!A:D,3,FALSE)</f>
        <v>Pi</v>
      </c>
      <c r="Q271" t="str">
        <f>VLOOKUP(aggregated_results!B271,representatives_list!A:D,4,FALSE)</f>
        <v>d.144.1</v>
      </c>
    </row>
    <row r="272" spans="1:17" x14ac:dyDescent="0.25">
      <c r="A272" t="s">
        <v>28</v>
      </c>
      <c r="B272" t="s">
        <v>73</v>
      </c>
      <c r="C272">
        <v>2.8</v>
      </c>
      <c r="D272">
        <v>5.8</v>
      </c>
      <c r="E272">
        <v>112</v>
      </c>
      <c r="F272">
        <v>301</v>
      </c>
      <c r="G272">
        <v>13</v>
      </c>
      <c r="I272" t="str">
        <f t="shared" si="4"/>
        <v/>
      </c>
      <c r="J272" t="str">
        <f>VLOOKUP(aggregated_results!A272,representatives_list!A:D,4,FALSE)</f>
        <v>c.111.1</v>
      </c>
      <c r="K272" t="str">
        <f>VLOOKUP(aggregated_results!A272,representatives_list!A:D,3,FALSE)</f>
        <v>PPi</v>
      </c>
      <c r="L272" t="str">
        <f>VLOOKUP(aggregated_results!A272,representatives_list!A:E,5,FALSE)</f>
        <v>ABG(+)</v>
      </c>
      <c r="M272" t="str">
        <f>VLOOKUP(A272,representatives_list!A:B,2,FALSE)</f>
        <v>Activating enzymes of the ubiquitin-like proteins</v>
      </c>
      <c r="N272" t="str">
        <f>VLOOKUP(B272,representatives_list!A:B,2,FALSE)</f>
        <v>Adenine nucleotide alpha hydrolases-like</v>
      </c>
      <c r="O272" t="str">
        <f>VLOOKUP(aggregated_results!B272,representatives_list!A:E,5,FALSE)</f>
        <v>ABG(+)</v>
      </c>
      <c r="P272" t="str">
        <f>VLOOKUP(aggregated_results!B272,representatives_list!A:D,3,FALSE)</f>
        <v>PPi</v>
      </c>
      <c r="Q272" t="str">
        <f>VLOOKUP(aggregated_results!B272,representatives_list!A:D,4,FALSE)</f>
        <v>c.26.2</v>
      </c>
    </row>
    <row r="273" spans="1:17" x14ac:dyDescent="0.25">
      <c r="A273" t="s">
        <v>79</v>
      </c>
      <c r="B273" t="s">
        <v>37</v>
      </c>
      <c r="C273">
        <v>2.8</v>
      </c>
      <c r="D273">
        <v>8.1</v>
      </c>
      <c r="E273">
        <v>114</v>
      </c>
      <c r="F273">
        <v>815</v>
      </c>
      <c r="G273">
        <v>8</v>
      </c>
      <c r="I273" t="str">
        <f t="shared" si="4"/>
        <v/>
      </c>
      <c r="J273" t="str">
        <f>VLOOKUP(aggregated_results!A273,representatives_list!A:D,4,FALSE)</f>
        <v>c.76.1</v>
      </c>
      <c r="K273" t="str">
        <f>VLOOKUP(aggregated_results!A273,representatives_list!A:D,3,FALSE)</f>
        <v>PPi</v>
      </c>
      <c r="L273" t="str">
        <f>VLOOKUP(aggregated_results!A273,representatives_list!A:E,5,FALSE)</f>
        <v>A(–)</v>
      </c>
      <c r="M273" t="str">
        <f>VLOOKUP(A273,representatives_list!A:B,2,FALSE)</f>
        <v>Alkaline phosphatase-like</v>
      </c>
      <c r="N273" t="str">
        <f>VLOOKUP(B273,representatives_list!A:B,2,FALSE)</f>
        <v>Phosphofructokinase</v>
      </c>
      <c r="O273" t="str">
        <f>VLOOKUP(aggregated_results!B273,representatives_list!A:E,5,FALSE)</f>
        <v>ABG(–)</v>
      </c>
      <c r="P273" t="str">
        <f>VLOOKUP(aggregated_results!B273,representatives_list!A:D,3,FALSE)</f>
        <v>Pi</v>
      </c>
      <c r="Q273" t="str">
        <f>VLOOKUP(aggregated_results!B273,representatives_list!A:D,4,FALSE)</f>
        <v>c.89.1</v>
      </c>
    </row>
    <row r="274" spans="1:17" x14ac:dyDescent="0.25">
      <c r="A274" t="s">
        <v>52</v>
      </c>
      <c r="B274" t="s">
        <v>26</v>
      </c>
      <c r="C274">
        <v>2.8</v>
      </c>
      <c r="D274">
        <v>5.8</v>
      </c>
      <c r="E274">
        <v>76</v>
      </c>
      <c r="F274">
        <v>304</v>
      </c>
      <c r="G274">
        <v>11</v>
      </c>
      <c r="I274" t="str">
        <f t="shared" si="4"/>
        <v/>
      </c>
      <c r="J274" t="str">
        <f>VLOOKUP(aggregated_results!A274,representatives_list!A:D,4,FALSE)</f>
        <v>d.79.4</v>
      </c>
      <c r="K274" t="str">
        <f>VLOOKUP(aggregated_results!A274,representatives_list!A:D,3,FALSE)</f>
        <v>Pi</v>
      </c>
      <c r="L274" t="str">
        <f>VLOOKUP(aggregated_results!A274,representatives_list!A:E,5,FALSE)</f>
        <v>ABG(+)</v>
      </c>
      <c r="M274" t="str">
        <f>VLOOKUP(A274,representatives_list!A:B,2,FALSE)</f>
        <v>PurM N-terminal domain-like</v>
      </c>
      <c r="N274" t="str">
        <f>VLOOKUP(B274,representatives_list!A:B,2,FALSE)</f>
        <v>GlnB-like</v>
      </c>
      <c r="O274" t="str">
        <f>VLOOKUP(aggregated_results!B274,representatives_list!A:E,5,FALSE)</f>
        <v>ABG(–)</v>
      </c>
      <c r="P274" t="str">
        <f>VLOOKUP(aggregated_results!B274,representatives_list!A:D,3,FALSE)</f>
        <v>Pi</v>
      </c>
      <c r="Q274" t="str">
        <f>VLOOKUP(aggregated_results!B274,representatives_list!A:D,4,FALSE)</f>
        <v>d.58.5</v>
      </c>
    </row>
    <row r="275" spans="1:17" x14ac:dyDescent="0.25">
      <c r="A275" t="s">
        <v>33</v>
      </c>
      <c r="B275" t="s">
        <v>47</v>
      </c>
      <c r="C275">
        <v>2.8</v>
      </c>
      <c r="D275">
        <v>3.7</v>
      </c>
      <c r="E275">
        <v>71</v>
      </c>
      <c r="F275">
        <v>530</v>
      </c>
      <c r="G275">
        <v>8</v>
      </c>
      <c r="I275" t="str">
        <f t="shared" si="4"/>
        <v/>
      </c>
      <c r="J275" t="str">
        <f>VLOOKUP(aggregated_results!A275,representatives_list!A:D,4,FALSE)</f>
        <v>e.23.1</v>
      </c>
      <c r="K275" t="str">
        <f>VLOOKUP(aggregated_results!A275,representatives_list!A:D,3,FALSE)</f>
        <v>PPi</v>
      </c>
      <c r="L275" t="str">
        <f>VLOOKUP(aggregated_results!A275,representatives_list!A:E,5,FALSE)</f>
        <v>BG(+)</v>
      </c>
      <c r="M275" t="str">
        <f>VLOOKUP(A275,representatives_list!A:B,2,FALSE)</f>
        <v>Acetyl-CoA synthetase-like</v>
      </c>
      <c r="N275" t="str">
        <f>VLOOKUP(B275,representatives_list!A:B,2,FALSE)</f>
        <v>6-hydroxymethyl-7,8-dihydropterin pyrophosphokinase, HPPK</v>
      </c>
      <c r="O275" t="str">
        <f>VLOOKUP(aggregated_results!B275,representatives_list!A:E,5,FALSE)</f>
        <v>AB(+)</v>
      </c>
      <c r="P275" t="str">
        <f>VLOOKUP(aggregated_results!B275,representatives_list!A:D,3,FALSE)</f>
        <v>PPi</v>
      </c>
      <c r="Q275" t="str">
        <f>VLOOKUP(aggregated_results!B275,representatives_list!A:D,4,FALSE)</f>
        <v>d.58.30</v>
      </c>
    </row>
    <row r="276" spans="1:17" x14ac:dyDescent="0.25">
      <c r="A276" t="s">
        <v>33</v>
      </c>
      <c r="B276" t="s">
        <v>64</v>
      </c>
      <c r="C276">
        <v>2.8</v>
      </c>
      <c r="D276">
        <v>4.7</v>
      </c>
      <c r="E276">
        <v>121</v>
      </c>
      <c r="F276">
        <v>530</v>
      </c>
      <c r="G276">
        <v>6</v>
      </c>
      <c r="I276" t="str">
        <f t="shared" si="4"/>
        <v/>
      </c>
      <c r="J276" t="str">
        <f>VLOOKUP(aggregated_results!A276,representatives_list!A:D,4,FALSE)</f>
        <v>e.23.1</v>
      </c>
      <c r="K276" t="str">
        <f>VLOOKUP(aggregated_results!A276,representatives_list!A:D,3,FALSE)</f>
        <v>PPi</v>
      </c>
      <c r="L276" t="str">
        <f>VLOOKUP(aggregated_results!A276,representatives_list!A:E,5,FALSE)</f>
        <v>BG(+)</v>
      </c>
      <c r="M276" t="str">
        <f>VLOOKUP(A276,representatives_list!A:B,2,FALSE)</f>
        <v>Acetyl-CoA synthetase-like</v>
      </c>
      <c r="N276" t="str">
        <f>VLOOKUP(B276,representatives_list!A:B,2,FALSE)</f>
        <v>YgbK-like</v>
      </c>
      <c r="O276" t="str">
        <f>VLOOKUP(aggregated_results!B276,representatives_list!A:E,5,FALSE)</f>
        <v>N/A</v>
      </c>
      <c r="P276" t="str">
        <f>VLOOKUP(aggregated_results!B276,representatives_list!A:D,3,FALSE)</f>
        <v>Pi</v>
      </c>
      <c r="Q276" t="str">
        <f>VLOOKUP(aggregated_results!B276,representatives_list!A:D,4,FALSE)</f>
        <v>c.146.1</v>
      </c>
    </row>
    <row r="277" spans="1:17" x14ac:dyDescent="0.25">
      <c r="A277" t="s">
        <v>71</v>
      </c>
      <c r="B277" t="s">
        <v>42</v>
      </c>
      <c r="C277">
        <v>2.8</v>
      </c>
      <c r="D277">
        <v>7.4</v>
      </c>
      <c r="E277">
        <v>83</v>
      </c>
      <c r="F277">
        <v>336</v>
      </c>
      <c r="G277">
        <v>17</v>
      </c>
      <c r="I277" t="str">
        <f t="shared" si="4"/>
        <v/>
      </c>
      <c r="J277" t="str">
        <f>VLOOKUP(aggregated_results!A277,representatives_list!A:D,4,FALSE)</f>
        <v>d.68.2</v>
      </c>
      <c r="K277" t="str">
        <f>VLOOKUP(aggregated_results!A277,representatives_list!A:D,3,FALSE)</f>
        <v>PPi</v>
      </c>
      <c r="L277" t="str">
        <f>VLOOKUP(aggregated_results!A277,representatives_list!A:E,5,FALSE)</f>
        <v>ABG(–)</v>
      </c>
      <c r="M277" t="str">
        <f>VLOOKUP(A277,representatives_list!A:B,2,FALSE)</f>
        <v>EPT/RTPC-like</v>
      </c>
      <c r="N277" t="str">
        <f>VLOOKUP(B277,representatives_list!A:B,2,FALSE)</f>
        <v>NAD kinase/diacylglycerol kinase-like</v>
      </c>
      <c r="O277" t="str">
        <f>VLOOKUP(aggregated_results!B277,representatives_list!A:E,5,FALSE)</f>
        <v>ABG(+)</v>
      </c>
      <c r="P277" t="str">
        <f>VLOOKUP(aggregated_results!B277,representatives_list!A:D,3,FALSE)</f>
        <v>Pi</v>
      </c>
      <c r="Q277" t="str">
        <f>VLOOKUP(aggregated_results!B277,representatives_list!A:D,4,FALSE)</f>
        <v>e.52.1</v>
      </c>
    </row>
    <row r="278" spans="1:17" x14ac:dyDescent="0.25">
      <c r="A278" t="s">
        <v>20</v>
      </c>
      <c r="B278" t="s">
        <v>48</v>
      </c>
      <c r="C278">
        <v>2.8</v>
      </c>
      <c r="D278">
        <v>24.4</v>
      </c>
      <c r="E278">
        <v>116</v>
      </c>
      <c r="F278">
        <v>994</v>
      </c>
      <c r="G278">
        <v>9</v>
      </c>
      <c r="I278" t="e">
        <f t="shared" si="4"/>
        <v>#N/A</v>
      </c>
      <c r="J278" t="str">
        <f>VLOOKUP(aggregated_results!A278,representatives_list!A:D,4,FALSE)</f>
        <v>N/A</v>
      </c>
      <c r="K278" t="str">
        <f>VLOOKUP(aggregated_results!A278,representatives_list!A:D,3,FALSE)</f>
        <v>PPi</v>
      </c>
      <c r="L278" t="str">
        <f>VLOOKUP(aggregated_results!A278,representatives_list!A:E,5,FALSE)</f>
        <v>ABG(–)</v>
      </c>
      <c r="M278" t="str">
        <f>VLOOKUP(A278,representatives_list!A:B,2,FALSE)</f>
        <v>Bacterial DNA polymerase III, alpha subunit, NTPase domain</v>
      </c>
      <c r="N278" t="str">
        <f>VLOOKUP(B278,representatives_list!A:B,2,FALSE)</f>
        <v>Metal cation-transporting ATPase, ATP-binding domain N</v>
      </c>
      <c r="O278" t="str">
        <f>VLOOKUP(aggregated_results!B278,representatives_list!A:E,5,FALSE)</f>
        <v>BG(–)</v>
      </c>
      <c r="P278" t="str">
        <f>VLOOKUP(aggregated_results!B278,representatives_list!A:D,3,FALSE)</f>
        <v>Pi</v>
      </c>
      <c r="Q278" t="str">
        <f>VLOOKUP(aggregated_results!B278,representatives_list!A:D,4,FALSE)</f>
        <v>d.220.1</v>
      </c>
    </row>
    <row r="279" spans="1:17" x14ac:dyDescent="0.25">
      <c r="A279" t="s">
        <v>20</v>
      </c>
      <c r="B279" t="s">
        <v>39</v>
      </c>
      <c r="C279">
        <v>2.8</v>
      </c>
      <c r="D279">
        <v>18.2</v>
      </c>
      <c r="E279">
        <v>128</v>
      </c>
      <c r="F279">
        <v>994</v>
      </c>
      <c r="G279">
        <v>7</v>
      </c>
      <c r="I279" t="e">
        <f t="shared" si="4"/>
        <v>#N/A</v>
      </c>
      <c r="J279" t="str">
        <f>VLOOKUP(aggregated_results!A279,representatives_list!A:D,4,FALSE)</f>
        <v>N/A</v>
      </c>
      <c r="K279" t="str">
        <f>VLOOKUP(aggregated_results!A279,representatives_list!A:D,3,FALSE)</f>
        <v>PPi</v>
      </c>
      <c r="L279" t="str">
        <f>VLOOKUP(aggregated_results!A279,representatives_list!A:E,5,FALSE)</f>
        <v>ABG(–)</v>
      </c>
      <c r="M279" t="str">
        <f>VLOOKUP(A279,representatives_list!A:B,2,FALSE)</f>
        <v>Bacterial DNA polymerase III, alpha subunit, NTPase domain</v>
      </c>
      <c r="N279" t="str">
        <f>VLOOKUP(B279,representatives_list!A:B,2,FALSE)</f>
        <v>Adenylylcyclase toxin (the edema factor)</v>
      </c>
      <c r="O279" t="str">
        <f>VLOOKUP(aggregated_results!B279,representatives_list!A:E,5,FALSE)</f>
        <v>AB(–)</v>
      </c>
      <c r="P279" t="str">
        <f>VLOOKUP(aggregated_results!B279,representatives_list!A:D,3,FALSE)</f>
        <v>PPi</v>
      </c>
      <c r="Q279" t="str">
        <f>VLOOKUP(aggregated_results!B279,representatives_list!A:D,4,FALSE)</f>
        <v>e.41.1</v>
      </c>
    </row>
    <row r="280" spans="1:17" x14ac:dyDescent="0.25">
      <c r="A280" t="s">
        <v>40</v>
      </c>
      <c r="B280" t="s">
        <v>72</v>
      </c>
      <c r="C280">
        <v>2.8</v>
      </c>
      <c r="D280">
        <v>3.1</v>
      </c>
      <c r="E280">
        <v>56</v>
      </c>
      <c r="F280">
        <v>193</v>
      </c>
      <c r="G280">
        <v>11</v>
      </c>
      <c r="I280" t="e">
        <f t="shared" si="4"/>
        <v>#N/A</v>
      </c>
      <c r="J280" t="str">
        <f>VLOOKUP(aggregated_results!A280,representatives_list!A:D,4,FALSE)</f>
        <v>c.51.4</v>
      </c>
      <c r="K280" t="str">
        <f>VLOOKUP(aggregated_results!A280,representatives_list!A:D,3,FALSE)</f>
        <v>PPi</v>
      </c>
      <c r="L280" t="str">
        <f>VLOOKUP(aggregated_results!A280,representatives_list!A:E,5,FALSE)</f>
        <v>ABG(–)</v>
      </c>
      <c r="M280" t="str">
        <f>VLOOKUP(A280,representatives_list!A:B,2,FALSE)</f>
        <v>ITPase-like</v>
      </c>
      <c r="N280" t="str">
        <f>VLOOKUP(B280,representatives_list!A:B,2,FALSE)</f>
        <v>YcaO-related McrA-glycine thioamidation protein</v>
      </c>
      <c r="O280" t="str">
        <f>VLOOKUP(aggregated_results!B280,representatives_list!A:E,5,FALSE)</f>
        <v>BG(–)</v>
      </c>
      <c r="P280" t="str">
        <f>VLOOKUP(aggregated_results!B280,representatives_list!A:D,3,FALSE)</f>
        <v>Pi</v>
      </c>
      <c r="Q280" t="str">
        <f>VLOOKUP(aggregated_results!B280,representatives_list!A:D,4,FALSE)</f>
        <v>N/A</v>
      </c>
    </row>
    <row r="281" spans="1:17" x14ac:dyDescent="0.25">
      <c r="A281" t="s">
        <v>67</v>
      </c>
      <c r="B281" t="s">
        <v>21</v>
      </c>
      <c r="C281">
        <v>2.8</v>
      </c>
      <c r="D281">
        <v>8</v>
      </c>
      <c r="E281">
        <v>106</v>
      </c>
      <c r="F281">
        <v>255</v>
      </c>
      <c r="G281">
        <v>8</v>
      </c>
      <c r="I281" t="str">
        <f t="shared" si="4"/>
        <v/>
      </c>
      <c r="J281" t="str">
        <f>VLOOKUP(aggregated_results!A281,representatives_list!A:D,4,FALSE)</f>
        <v>c.100.1</v>
      </c>
      <c r="K281" t="str">
        <f>VLOOKUP(aggregated_results!A281,representatives_list!A:D,3,FALSE)</f>
        <v>PPi</v>
      </c>
      <c r="L281" t="str">
        <f>VLOOKUP(aggregated_results!A281,representatives_list!A:E,5,FALSE)</f>
        <v>AG</v>
      </c>
      <c r="M281" t="str">
        <f>VLOOKUP(A281,representatives_list!A:B,2,FALSE)</f>
        <v>Thiamin pyrophosphokinase, catalytic domain</v>
      </c>
      <c r="N281" t="str">
        <f>VLOOKUP(B281,representatives_list!A:B,2,FALSE)</f>
        <v>YrdC/RibB</v>
      </c>
      <c r="O281" t="str">
        <f>VLOOKUP(aggregated_results!B281,representatives_list!A:E,5,FALSE)</f>
        <v>ABG(–)</v>
      </c>
      <c r="P281" t="str">
        <f>VLOOKUP(aggregated_results!B281,representatives_list!A:D,3,FALSE)</f>
        <v>PPi</v>
      </c>
      <c r="Q281" t="str">
        <f>VLOOKUP(aggregated_results!B281,representatives_list!A:D,4,FALSE)</f>
        <v>d.115.1</v>
      </c>
    </row>
    <row r="282" spans="1:17" x14ac:dyDescent="0.25">
      <c r="A282" t="s">
        <v>67</v>
      </c>
      <c r="B282" t="s">
        <v>25</v>
      </c>
      <c r="C282">
        <v>2.8</v>
      </c>
      <c r="D282">
        <v>4.7</v>
      </c>
      <c r="E282">
        <v>128</v>
      </c>
      <c r="F282">
        <v>255</v>
      </c>
      <c r="G282">
        <v>4</v>
      </c>
      <c r="I282" t="str">
        <f t="shared" si="4"/>
        <v/>
      </c>
      <c r="J282" t="str">
        <f>VLOOKUP(aggregated_results!A282,representatives_list!A:D,4,FALSE)</f>
        <v>c.100.1</v>
      </c>
      <c r="K282" t="str">
        <f>VLOOKUP(aggregated_results!A282,representatives_list!A:D,3,FALSE)</f>
        <v>PPi</v>
      </c>
      <c r="L282" t="str">
        <f>VLOOKUP(aggregated_results!A282,representatives_list!A:E,5,FALSE)</f>
        <v>AG</v>
      </c>
      <c r="M282" t="str">
        <f>VLOOKUP(A282,representatives_list!A:B,2,FALSE)</f>
        <v>Thiamin pyrophosphokinase, catalytic domain</v>
      </c>
      <c r="N282" t="str">
        <f>VLOOKUP(B282,representatives_list!A:B,2,FALSE)</f>
        <v>Carbamate kinase-like</v>
      </c>
      <c r="O282" t="str">
        <f>VLOOKUP(aggregated_results!B282,representatives_list!A:E,5,FALSE)</f>
        <v>ABG(+)</v>
      </c>
      <c r="P282" t="str">
        <f>VLOOKUP(aggregated_results!B282,representatives_list!A:D,3,FALSE)</f>
        <v>Pi</v>
      </c>
      <c r="Q282" t="str">
        <f>VLOOKUP(aggregated_results!B282,representatives_list!A:D,4,FALSE)</f>
        <v>c.73.1</v>
      </c>
    </row>
    <row r="283" spans="1:17" x14ac:dyDescent="0.25">
      <c r="A283" t="s">
        <v>74</v>
      </c>
      <c r="B283" t="s">
        <v>37</v>
      </c>
      <c r="C283">
        <v>2.8</v>
      </c>
      <c r="D283">
        <v>9.1</v>
      </c>
      <c r="E283">
        <v>127</v>
      </c>
      <c r="F283">
        <v>469</v>
      </c>
      <c r="G283">
        <v>9</v>
      </c>
      <c r="I283" t="str">
        <f t="shared" si="4"/>
        <v/>
      </c>
      <c r="J283" t="str">
        <f>VLOOKUP(aggregated_results!A283,representatives_list!A:D,4,FALSE)</f>
        <v>c.26.1</v>
      </c>
      <c r="K283" t="str">
        <f>VLOOKUP(aggregated_results!A283,representatives_list!A:D,3,FALSE)</f>
        <v>PPi</v>
      </c>
      <c r="L283" t="str">
        <f>VLOOKUP(aggregated_results!A283,representatives_list!A:E,5,FALSE)</f>
        <v>ABG(–)</v>
      </c>
      <c r="M283" t="str">
        <f>VLOOKUP(A283,representatives_list!A:B,2,FALSE)</f>
        <v>Nucleotidylyl transferase</v>
      </c>
      <c r="N283" t="str">
        <f>VLOOKUP(B283,representatives_list!A:B,2,FALSE)</f>
        <v>Phosphofructokinase</v>
      </c>
      <c r="O283" t="str">
        <f>VLOOKUP(aggregated_results!B283,representatives_list!A:E,5,FALSE)</f>
        <v>ABG(–)</v>
      </c>
      <c r="P283" t="str">
        <f>VLOOKUP(aggregated_results!B283,representatives_list!A:D,3,FALSE)</f>
        <v>Pi</v>
      </c>
      <c r="Q283" t="str">
        <f>VLOOKUP(aggregated_results!B283,representatives_list!A:D,4,FALSE)</f>
        <v>c.89.1</v>
      </c>
    </row>
    <row r="284" spans="1:17" x14ac:dyDescent="0.25">
      <c r="A284" t="s">
        <v>36</v>
      </c>
      <c r="B284" t="s">
        <v>35</v>
      </c>
      <c r="C284">
        <v>2.8</v>
      </c>
      <c r="D284">
        <v>3.5</v>
      </c>
      <c r="E284">
        <v>93</v>
      </c>
      <c r="F284">
        <v>166</v>
      </c>
      <c r="G284">
        <v>10</v>
      </c>
      <c r="I284" t="str">
        <f t="shared" si="4"/>
        <v/>
      </c>
      <c r="J284" t="str">
        <f>VLOOKUP(aggregated_results!A284,representatives_list!A:D,4,FALSE)</f>
        <v>c.37.1</v>
      </c>
      <c r="K284" t="str">
        <f>VLOOKUP(aggregated_results!A284,representatives_list!A:D,3,FALSE)</f>
        <v>Pi</v>
      </c>
      <c r="L284" t="str">
        <f>VLOOKUP(aggregated_results!A284,representatives_list!A:E,5,FALSE)</f>
        <v>BG(–)</v>
      </c>
      <c r="M284" t="str">
        <f>VLOOKUP(A284,representatives_list!A:B,2,FALSE)</f>
        <v>P-loop containing nucleoside triphosphate hydrolases</v>
      </c>
      <c r="N284" t="str">
        <f>VLOOKUP(B284,representatives_list!A:B,2,FALSE)</f>
        <v>Phosphoglycerate kinase</v>
      </c>
      <c r="O284" t="str">
        <f>VLOOKUP(aggregated_results!B284,representatives_list!A:E,5,FALSE)</f>
        <v>ABG(–)</v>
      </c>
      <c r="P284" t="str">
        <f>VLOOKUP(aggregated_results!B284,representatives_list!A:D,3,FALSE)</f>
        <v>Pi</v>
      </c>
      <c r="Q284" t="str">
        <f>VLOOKUP(aggregated_results!B284,representatives_list!A:D,4,FALSE)</f>
        <v>c.86.1</v>
      </c>
    </row>
    <row r="285" spans="1:17" x14ac:dyDescent="0.25">
      <c r="A285" t="s">
        <v>82</v>
      </c>
      <c r="B285" t="s">
        <v>77</v>
      </c>
      <c r="C285">
        <v>2.7</v>
      </c>
      <c r="D285">
        <v>6.9</v>
      </c>
      <c r="E285">
        <v>85</v>
      </c>
      <c r="F285">
        <v>933</v>
      </c>
      <c r="G285">
        <v>12</v>
      </c>
      <c r="I285" t="e">
        <f t="shared" si="4"/>
        <v>#N/A</v>
      </c>
      <c r="J285" t="str">
        <f>VLOOKUP(aggregated_results!A285,representatives_list!A:D,4,FALSE)</f>
        <v>N/A</v>
      </c>
      <c r="K285" t="str">
        <f>VLOOKUP(aggregated_results!A285,representatives_list!A:D,3,FALSE)</f>
        <v>PPi</v>
      </c>
      <c r="L285" t="str">
        <f>VLOOKUP(aggregated_results!A285,representatives_list!A:E,5,FALSE)</f>
        <v>ABG(–)</v>
      </c>
      <c r="M285" t="str">
        <f>VLOOKUP(A285,representatives_list!A:B,2,FALSE)</f>
        <v>RNA-dependent RNA polymerase, eukaryotic-type</v>
      </c>
      <c r="N285" t="str">
        <f>VLOOKUP(B285,representatives_list!A:B,2,FALSE)</f>
        <v>Nucleotidyltransferase</v>
      </c>
      <c r="O285" t="str">
        <f>VLOOKUP(aggregated_results!B285,representatives_list!A:E,5,FALSE)</f>
        <v>ABG(–)</v>
      </c>
      <c r="P285" t="str">
        <f>VLOOKUP(aggregated_results!B285,representatives_list!A:D,3,FALSE)</f>
        <v>PPi</v>
      </c>
      <c r="Q285" t="str">
        <f>VLOOKUP(aggregated_results!B285,representatives_list!A:D,4,FALSE)</f>
        <v>d.218.1</v>
      </c>
    </row>
    <row r="286" spans="1:17" x14ac:dyDescent="0.25">
      <c r="A286" t="s">
        <v>27</v>
      </c>
      <c r="B286" t="s">
        <v>32</v>
      </c>
      <c r="C286">
        <v>2.7</v>
      </c>
      <c r="D286">
        <v>3.7</v>
      </c>
      <c r="E286">
        <v>88</v>
      </c>
      <c r="F286">
        <v>304</v>
      </c>
      <c r="G286">
        <v>7</v>
      </c>
      <c r="I286" t="str">
        <f t="shared" si="4"/>
        <v/>
      </c>
      <c r="J286" t="str">
        <f>VLOOKUP(aggregated_results!A286,representatives_list!A:D,4,FALSE)</f>
        <v>c.72.3</v>
      </c>
      <c r="K286" t="str">
        <f>VLOOKUP(aggregated_results!A286,representatives_list!A:D,3,FALSE)</f>
        <v>PPi</v>
      </c>
      <c r="L286" t="str">
        <f>VLOOKUP(aggregated_results!A286,representatives_list!A:E,5,FALSE)</f>
        <v>ABG(–)</v>
      </c>
      <c r="M286" t="str">
        <f>VLOOKUP(A286,representatives_list!A:B,2,FALSE)</f>
        <v>CoaB-like</v>
      </c>
      <c r="N286" t="str">
        <f>VLOOKUP(B286,representatives_list!A:B,2,FALSE)</f>
        <v>Phosphoenolpyruvate/pyruvate domain</v>
      </c>
      <c r="O286" t="str">
        <f>VLOOKUP(aggregated_results!B286,representatives_list!A:E,5,FALSE)</f>
        <v>ABG(–)</v>
      </c>
      <c r="P286" t="str">
        <f>VLOOKUP(aggregated_results!B286,representatives_list!A:D,3,FALSE)</f>
        <v>Pi</v>
      </c>
      <c r="Q286" t="str">
        <f>VLOOKUP(aggregated_results!B286,representatives_list!A:D,4,FALSE)</f>
        <v>c.1.12</v>
      </c>
    </row>
    <row r="287" spans="1:17" x14ac:dyDescent="0.25">
      <c r="A287" t="s">
        <v>34</v>
      </c>
      <c r="B287" t="s">
        <v>42</v>
      </c>
      <c r="C287">
        <v>2.7</v>
      </c>
      <c r="D287">
        <v>3.5</v>
      </c>
      <c r="E287">
        <v>103</v>
      </c>
      <c r="F287">
        <v>426</v>
      </c>
      <c r="G287">
        <v>4</v>
      </c>
      <c r="I287" t="str">
        <f t="shared" si="4"/>
        <v/>
      </c>
      <c r="J287" t="str">
        <f>VLOOKUP(aggregated_results!A287,representatives_list!A:D,4,FALSE)</f>
        <v>c.32.1</v>
      </c>
      <c r="K287" t="str">
        <f>VLOOKUP(aggregated_results!A287,representatives_list!A:D,3,FALSE)</f>
        <v>Pi</v>
      </c>
      <c r="L287" t="str">
        <f>VLOOKUP(aggregated_results!A287,representatives_list!A:E,5,FALSE)</f>
        <v>BG(–)</v>
      </c>
      <c r="M287" t="str">
        <f>VLOOKUP(A287,representatives_list!A:B,2,FALSE)</f>
        <v>Tubulin nucleotide-binding domain-like</v>
      </c>
      <c r="N287" t="str">
        <f>VLOOKUP(B287,representatives_list!A:B,2,FALSE)</f>
        <v>NAD kinase/diacylglycerol kinase-like</v>
      </c>
      <c r="O287" t="str">
        <f>VLOOKUP(aggregated_results!B287,representatives_list!A:E,5,FALSE)</f>
        <v>ABG(+)</v>
      </c>
      <c r="P287" t="str">
        <f>VLOOKUP(aggregated_results!B287,representatives_list!A:D,3,FALSE)</f>
        <v>Pi</v>
      </c>
      <c r="Q287" t="str">
        <f>VLOOKUP(aggregated_results!B287,representatives_list!A:D,4,FALSE)</f>
        <v>e.52.1</v>
      </c>
    </row>
    <row r="288" spans="1:17" x14ac:dyDescent="0.25">
      <c r="A288" t="s">
        <v>68</v>
      </c>
      <c r="B288" t="s">
        <v>82</v>
      </c>
      <c r="C288">
        <v>2.7</v>
      </c>
      <c r="D288">
        <v>6.3</v>
      </c>
      <c r="E288">
        <v>55</v>
      </c>
      <c r="F288">
        <v>110</v>
      </c>
      <c r="G288">
        <v>4</v>
      </c>
      <c r="I288" t="e">
        <f t="shared" si="4"/>
        <v>#N/A</v>
      </c>
      <c r="J288" t="str">
        <f>VLOOKUP(aggregated_results!A288,representatives_list!A:D,4,FALSE)</f>
        <v>a.204.1</v>
      </c>
      <c r="K288" t="str">
        <f>VLOOKUP(aggregated_results!A288,representatives_list!A:D,3,FALSE)</f>
        <v>PPi</v>
      </c>
      <c r="L288" t="str">
        <f>VLOOKUP(aggregated_results!A288,representatives_list!A:E,5,FALSE)</f>
        <v>ABG(+)</v>
      </c>
      <c r="M288" t="str">
        <f>VLOOKUP(A288,representatives_list!A:B,2,FALSE)</f>
        <v>all-alpha NTP pyrophosphatases</v>
      </c>
      <c r="N288" t="str">
        <f>VLOOKUP(B288,representatives_list!A:B,2,FALSE)</f>
        <v>RNA-dependent RNA polymerase, eukaryotic-type</v>
      </c>
      <c r="O288" t="str">
        <f>VLOOKUP(aggregated_results!B288,representatives_list!A:E,5,FALSE)</f>
        <v>ABG(–)</v>
      </c>
      <c r="P288" t="str">
        <f>VLOOKUP(aggregated_results!B288,representatives_list!A:D,3,FALSE)</f>
        <v>PPi</v>
      </c>
      <c r="Q288" t="str">
        <f>VLOOKUP(aggregated_results!B288,representatives_list!A:D,4,FALSE)</f>
        <v>N/A</v>
      </c>
    </row>
    <row r="289" spans="1:17" x14ac:dyDescent="0.25">
      <c r="A289" t="s">
        <v>77</v>
      </c>
      <c r="B289" t="s">
        <v>58</v>
      </c>
      <c r="C289">
        <v>2.7</v>
      </c>
      <c r="D289">
        <v>4</v>
      </c>
      <c r="E289">
        <v>53</v>
      </c>
      <c r="F289">
        <v>329</v>
      </c>
      <c r="G289">
        <v>2</v>
      </c>
      <c r="I289" t="str">
        <f t="shared" si="4"/>
        <v/>
      </c>
      <c r="J289" t="str">
        <f>VLOOKUP(aggregated_results!A289,representatives_list!A:D,4,FALSE)</f>
        <v>d.218.1</v>
      </c>
      <c r="K289" t="str">
        <f>VLOOKUP(aggregated_results!A289,representatives_list!A:D,3,FALSE)</f>
        <v>PPi</v>
      </c>
      <c r="L289" t="str">
        <f>VLOOKUP(aggregated_results!A289,representatives_list!A:E,5,FALSE)</f>
        <v>ABG(–)</v>
      </c>
      <c r="M289" t="str">
        <f>VLOOKUP(A289,representatives_list!A:B,2,FALSE)</f>
        <v>Nucleotidyltransferase</v>
      </c>
      <c r="N289" t="str">
        <f>VLOOKUP(B289,representatives_list!A:B,2,FALSE)</f>
        <v>Diacylglycerol kinase (DgkA)-like</v>
      </c>
      <c r="O289" t="str">
        <f>VLOOKUP(aggregated_results!B289,representatives_list!A:E,5,FALSE)</f>
        <v>BG(–)</v>
      </c>
      <c r="P289" t="str">
        <f>VLOOKUP(aggregated_results!B289,representatives_list!A:D,3,FALSE)</f>
        <v>Pi</v>
      </c>
      <c r="Q289" t="str">
        <f>VLOOKUP(aggregated_results!B289,representatives_list!A:D,4,FALSE)</f>
        <v>f.62.1</v>
      </c>
    </row>
    <row r="290" spans="1:17" x14ac:dyDescent="0.25">
      <c r="A290" t="s">
        <v>65</v>
      </c>
      <c r="B290" t="s">
        <v>51</v>
      </c>
      <c r="C290">
        <v>2.7</v>
      </c>
      <c r="D290">
        <v>4.3</v>
      </c>
      <c r="E290">
        <v>62</v>
      </c>
      <c r="F290">
        <v>178</v>
      </c>
      <c r="G290">
        <v>11</v>
      </c>
      <c r="I290" t="str">
        <f t="shared" si="4"/>
        <v/>
      </c>
      <c r="J290" t="str">
        <f>VLOOKUP(aggregated_results!A290,representatives_list!A:D,4,FALSE)</f>
        <v>a.25.2</v>
      </c>
      <c r="K290" t="str">
        <f>VLOOKUP(aggregated_results!A290,representatives_list!A:D,3,FALSE)</f>
        <v>PPPi</v>
      </c>
      <c r="L290" t="str">
        <f>VLOOKUP(aggregated_results!A290,representatives_list!A:E,5,FALSE)</f>
        <v>ABG(+)</v>
      </c>
      <c r="M290" t="str">
        <f>VLOOKUP(A290,representatives_list!A:B,2,FALSE)</f>
        <v>Cobalamin adenosyltransferase-like</v>
      </c>
      <c r="N290" t="str">
        <f>VLOOKUP(B290,representatives_list!A:B,2,FALSE)</f>
        <v>DhaL-like</v>
      </c>
      <c r="O290" t="str">
        <f>VLOOKUP(aggregated_results!B290,representatives_list!A:E,5,FALSE)</f>
        <v>BG(–)</v>
      </c>
      <c r="P290" t="str">
        <f>VLOOKUP(aggregated_results!B290,representatives_list!A:D,3,FALSE)</f>
        <v>Pi</v>
      </c>
      <c r="Q290" t="str">
        <f>VLOOKUP(aggregated_results!B290,representatives_list!A:D,4,FALSE)</f>
        <v>a.208.1</v>
      </c>
    </row>
    <row r="291" spans="1:17" x14ac:dyDescent="0.25">
      <c r="A291" t="s">
        <v>33</v>
      </c>
      <c r="B291" t="s">
        <v>34</v>
      </c>
      <c r="C291">
        <v>2.7</v>
      </c>
      <c r="D291">
        <v>8.1999999999999993</v>
      </c>
      <c r="E291">
        <v>99</v>
      </c>
      <c r="F291">
        <v>530</v>
      </c>
      <c r="G291">
        <v>5</v>
      </c>
      <c r="I291" t="str">
        <f t="shared" si="4"/>
        <v/>
      </c>
      <c r="J291" t="str">
        <f>VLOOKUP(aggregated_results!A291,representatives_list!A:D,4,FALSE)</f>
        <v>e.23.1</v>
      </c>
      <c r="K291" t="str">
        <f>VLOOKUP(aggregated_results!A291,representatives_list!A:D,3,FALSE)</f>
        <v>PPi</v>
      </c>
      <c r="L291" t="str">
        <f>VLOOKUP(aggregated_results!A291,representatives_list!A:E,5,FALSE)</f>
        <v>BG(+)</v>
      </c>
      <c r="M291" t="str">
        <f>VLOOKUP(A291,representatives_list!A:B,2,FALSE)</f>
        <v>Acetyl-CoA synthetase-like</v>
      </c>
      <c r="N291" t="str">
        <f>VLOOKUP(B291,representatives_list!A:B,2,FALSE)</f>
        <v>Tubulin nucleotide-binding domain-like</v>
      </c>
      <c r="O291" t="str">
        <f>VLOOKUP(aggregated_results!B291,representatives_list!A:E,5,FALSE)</f>
        <v>BG(–)</v>
      </c>
      <c r="P291" t="str">
        <f>VLOOKUP(aggregated_results!B291,representatives_list!A:D,3,FALSE)</f>
        <v>Pi</v>
      </c>
      <c r="Q291" t="str">
        <f>VLOOKUP(aggregated_results!B291,representatives_list!A:D,4,FALSE)</f>
        <v>c.32.1</v>
      </c>
    </row>
    <row r="292" spans="1:17" x14ac:dyDescent="0.25">
      <c r="A292" t="s">
        <v>33</v>
      </c>
      <c r="B292" t="s">
        <v>56</v>
      </c>
      <c r="C292">
        <v>2.7</v>
      </c>
      <c r="D292">
        <v>13.4</v>
      </c>
      <c r="E292">
        <v>111</v>
      </c>
      <c r="F292">
        <v>530</v>
      </c>
      <c r="G292">
        <v>7</v>
      </c>
      <c r="I292" t="str">
        <f t="shared" si="4"/>
        <v/>
      </c>
      <c r="J292" t="str">
        <f>VLOOKUP(aggregated_results!A292,representatives_list!A:D,4,FALSE)</f>
        <v>e.23.1</v>
      </c>
      <c r="K292" t="str">
        <f>VLOOKUP(aggregated_results!A292,representatives_list!A:D,3,FALSE)</f>
        <v>PPi</v>
      </c>
      <c r="L292" t="str">
        <f>VLOOKUP(aggregated_results!A292,representatives_list!A:E,5,FALSE)</f>
        <v>BG(+)</v>
      </c>
      <c r="M292" t="str">
        <f>VLOOKUP(A292,representatives_list!A:B,2,FALSE)</f>
        <v>Acetyl-CoA synthetase-like</v>
      </c>
      <c r="N292" t="str">
        <f>VLOOKUP(B292,representatives_list!A:B,2,FALSE)</f>
        <v>GroEL equatorial domain-like</v>
      </c>
      <c r="O292" t="str">
        <f>VLOOKUP(aggregated_results!B292,representatives_list!A:E,5,FALSE)</f>
        <v>ABG(+)</v>
      </c>
      <c r="P292" t="str">
        <f>VLOOKUP(aggregated_results!B292,representatives_list!A:D,3,FALSE)</f>
        <v>Pi</v>
      </c>
      <c r="Q292" t="str">
        <f>VLOOKUP(aggregated_results!B292,representatives_list!A:D,4,FALSE)</f>
        <v>a.129.1</v>
      </c>
    </row>
    <row r="293" spans="1:17" x14ac:dyDescent="0.25">
      <c r="A293" t="s">
        <v>58</v>
      </c>
      <c r="B293" t="s">
        <v>31</v>
      </c>
      <c r="C293">
        <v>2.7</v>
      </c>
      <c r="D293">
        <v>8</v>
      </c>
      <c r="E293">
        <v>88</v>
      </c>
      <c r="F293">
        <v>105</v>
      </c>
      <c r="G293">
        <v>3</v>
      </c>
      <c r="I293" t="str">
        <f t="shared" si="4"/>
        <v/>
      </c>
      <c r="J293" t="str">
        <f>VLOOKUP(aggregated_results!A293,representatives_list!A:D,4,FALSE)</f>
        <v>f.62.1</v>
      </c>
      <c r="K293" t="str">
        <f>VLOOKUP(aggregated_results!A293,representatives_list!A:D,3,FALSE)</f>
        <v>Pi</v>
      </c>
      <c r="L293" t="str">
        <f>VLOOKUP(aggregated_results!A293,representatives_list!A:E,5,FALSE)</f>
        <v>BG(–)</v>
      </c>
      <c r="M293" t="str">
        <f>VLOOKUP(A293,representatives_list!A:B,2,FALSE)</f>
        <v>Diacylglycerol kinase (DgkA)-like</v>
      </c>
      <c r="N293" t="str">
        <f>VLOOKUP(B293,representatives_list!A:B,2,FALSE)</f>
        <v>GHMP Kinase, C-terminal domain</v>
      </c>
      <c r="O293" t="str">
        <f>VLOOKUP(aggregated_results!B293,representatives_list!A:E,5,FALSE)</f>
        <v>ABG(+)</v>
      </c>
      <c r="P293" t="str">
        <f>VLOOKUP(aggregated_results!B293,representatives_list!A:D,3,FALSE)</f>
        <v>Pi</v>
      </c>
      <c r="Q293" t="str">
        <f>VLOOKUP(aggregated_results!B293,representatives_list!A:D,4,FALSE)</f>
        <v>d.58.26</v>
      </c>
    </row>
    <row r="294" spans="1:17" x14ac:dyDescent="0.25">
      <c r="A294" t="s">
        <v>84</v>
      </c>
      <c r="B294" t="s">
        <v>32</v>
      </c>
      <c r="C294">
        <v>2.7</v>
      </c>
      <c r="D294">
        <v>4.5</v>
      </c>
      <c r="E294">
        <v>126</v>
      </c>
      <c r="F294">
        <v>290</v>
      </c>
      <c r="G294">
        <v>6</v>
      </c>
      <c r="I294" t="str">
        <f t="shared" si="4"/>
        <v/>
      </c>
      <c r="J294" t="str">
        <f>VLOOKUP(aggregated_results!A294,representatives_list!A:D,4,FALSE)</f>
        <v>d.159.1</v>
      </c>
      <c r="K294" t="str">
        <f>VLOOKUP(aggregated_results!A294,representatives_list!A:D,3,FALSE)</f>
        <v>Pi</v>
      </c>
      <c r="L294" t="str">
        <f>VLOOKUP(aggregated_results!A294,representatives_list!A:E,5,FALSE)</f>
        <v>G</v>
      </c>
      <c r="M294" t="str">
        <f>VLOOKUP(A294,representatives_list!A:B,2,FALSE)</f>
        <v>Metallo-dependent phosphatases</v>
      </c>
      <c r="N294" t="str">
        <f>VLOOKUP(B294,representatives_list!A:B,2,FALSE)</f>
        <v>Phosphoenolpyruvate/pyruvate domain</v>
      </c>
      <c r="O294" t="str">
        <f>VLOOKUP(aggregated_results!B294,representatives_list!A:E,5,FALSE)</f>
        <v>ABG(–)</v>
      </c>
      <c r="P294" t="str">
        <f>VLOOKUP(aggregated_results!B294,representatives_list!A:D,3,FALSE)</f>
        <v>Pi</v>
      </c>
      <c r="Q294" t="str">
        <f>VLOOKUP(aggregated_results!B294,representatives_list!A:D,4,FALSE)</f>
        <v>c.1.12</v>
      </c>
    </row>
    <row r="295" spans="1:17" x14ac:dyDescent="0.25">
      <c r="A295" t="s">
        <v>60</v>
      </c>
      <c r="B295" t="s">
        <v>68</v>
      </c>
      <c r="C295">
        <v>2.7</v>
      </c>
      <c r="D295">
        <v>5.9</v>
      </c>
      <c r="E295">
        <v>73</v>
      </c>
      <c r="F295">
        <v>1095</v>
      </c>
      <c r="G295">
        <v>8</v>
      </c>
      <c r="I295" t="e">
        <f t="shared" si="4"/>
        <v>#N/A</v>
      </c>
      <c r="J295" t="str">
        <f>VLOOKUP(aggregated_results!A295,representatives_list!A:D,4,FALSE)</f>
        <v>N/A</v>
      </c>
      <c r="K295" t="str">
        <f>VLOOKUP(aggregated_results!A295,representatives_list!A:D,3,FALSE)</f>
        <v>PPi</v>
      </c>
      <c r="L295" t="str">
        <f>VLOOKUP(aggregated_results!A295,representatives_list!A:E,5,FALSE)</f>
        <v>ABG(+)</v>
      </c>
      <c r="M295" t="str">
        <f>VLOOKUP(A295,representatives_list!A:B,2,FALSE)</f>
        <v>Virion DNA-directed RNA polymerase domain</v>
      </c>
      <c r="N295" t="str">
        <f>VLOOKUP(B295,representatives_list!A:B,2,FALSE)</f>
        <v>all-alpha NTP pyrophosphatases</v>
      </c>
      <c r="O295" t="str">
        <f>VLOOKUP(aggregated_results!B295,representatives_list!A:E,5,FALSE)</f>
        <v>ABG(+)</v>
      </c>
      <c r="P295" t="str">
        <f>VLOOKUP(aggregated_results!B295,representatives_list!A:D,3,FALSE)</f>
        <v>PPi</v>
      </c>
      <c r="Q295" t="str">
        <f>VLOOKUP(aggregated_results!B295,representatives_list!A:D,4,FALSE)</f>
        <v>a.204.1</v>
      </c>
    </row>
    <row r="296" spans="1:17" x14ac:dyDescent="0.25">
      <c r="A296" t="s">
        <v>55</v>
      </c>
      <c r="B296" t="s">
        <v>24</v>
      </c>
      <c r="C296">
        <v>2.7</v>
      </c>
      <c r="D296">
        <v>5.8</v>
      </c>
      <c r="E296">
        <v>87</v>
      </c>
      <c r="F296">
        <v>321</v>
      </c>
      <c r="G296">
        <v>5</v>
      </c>
      <c r="I296" t="str">
        <f t="shared" si="4"/>
        <v/>
      </c>
      <c r="J296" t="str">
        <f>VLOOKUP(aggregated_results!A296,representatives_list!A:D,4,FALSE)</f>
        <v>e.13.1</v>
      </c>
      <c r="K296" t="str">
        <f>VLOOKUP(aggregated_results!A296,representatives_list!A:D,3,FALSE)</f>
        <v>PPi</v>
      </c>
      <c r="L296" t="str">
        <f>VLOOKUP(aggregated_results!A296,representatives_list!A:E,5,FALSE)</f>
        <v>AB(–)</v>
      </c>
      <c r="M296" t="str">
        <f>VLOOKUP(A296,representatives_list!A:B,2,FALSE)</f>
        <v>DNA primase core</v>
      </c>
      <c r="N296" t="str">
        <f>VLOOKUP(B296,representatives_list!A:B,2,FALSE)</f>
        <v>Ribokinase-like</v>
      </c>
      <c r="O296" t="str">
        <f>VLOOKUP(aggregated_results!B296,representatives_list!A:E,5,FALSE)</f>
        <v>BG(–)</v>
      </c>
      <c r="P296" t="str">
        <f>VLOOKUP(aggregated_results!B296,representatives_list!A:D,3,FALSE)</f>
        <v>Pi</v>
      </c>
      <c r="Q296" t="str">
        <f>VLOOKUP(aggregated_results!B296,representatives_list!A:D,4,FALSE)</f>
        <v>c.72.1</v>
      </c>
    </row>
    <row r="297" spans="1:17" x14ac:dyDescent="0.25">
      <c r="A297" t="s">
        <v>55</v>
      </c>
      <c r="B297" t="s">
        <v>22</v>
      </c>
      <c r="C297">
        <v>2.7</v>
      </c>
      <c r="D297">
        <v>4.4000000000000004</v>
      </c>
      <c r="E297">
        <v>93</v>
      </c>
      <c r="F297">
        <v>321</v>
      </c>
      <c r="G297">
        <v>8</v>
      </c>
      <c r="I297" t="str">
        <f t="shared" si="4"/>
        <v/>
      </c>
      <c r="J297" t="str">
        <f>VLOOKUP(aggregated_results!A297,representatives_list!A:D,4,FALSE)</f>
        <v>e.13.1</v>
      </c>
      <c r="K297" t="str">
        <f>VLOOKUP(aggregated_results!A297,representatives_list!A:D,3,FALSE)</f>
        <v>PPi</v>
      </c>
      <c r="L297" t="str">
        <f>VLOOKUP(aggregated_results!A297,representatives_list!A:E,5,FALSE)</f>
        <v>AB(–)</v>
      </c>
      <c r="M297" t="str">
        <f>VLOOKUP(A297,representatives_list!A:B,2,FALSE)</f>
        <v>DNA primase core</v>
      </c>
      <c r="N297" t="str">
        <f>VLOOKUP(B297,representatives_list!A:B,2,FALSE)</f>
        <v>Actin-like ATPase domain</v>
      </c>
      <c r="O297" t="str">
        <f>VLOOKUP(aggregated_results!B297,representatives_list!A:E,5,FALSE)</f>
        <v>BG(+)</v>
      </c>
      <c r="P297" t="str">
        <f>VLOOKUP(aggregated_results!B297,representatives_list!A:D,3,FALSE)</f>
        <v>Pi</v>
      </c>
      <c r="Q297" t="str">
        <f>VLOOKUP(aggregated_results!B297,representatives_list!A:D,4,FALSE)</f>
        <v>c.55.1</v>
      </c>
    </row>
    <row r="298" spans="1:17" x14ac:dyDescent="0.25">
      <c r="A298" t="s">
        <v>46</v>
      </c>
      <c r="B298" t="s">
        <v>25</v>
      </c>
      <c r="C298">
        <v>2.7</v>
      </c>
      <c r="D298">
        <v>4.5999999999999996</v>
      </c>
      <c r="E298">
        <v>111</v>
      </c>
      <c r="F298">
        <v>253</v>
      </c>
      <c r="G298">
        <v>7</v>
      </c>
      <c r="I298" t="e">
        <f t="shared" si="4"/>
        <v>#N/A</v>
      </c>
      <c r="J298" t="str">
        <f>VLOOKUP(aggregated_results!A298,representatives_list!A:D,4,FALSE)</f>
        <v>N/A</v>
      </c>
      <c r="K298" t="str">
        <f>VLOOKUP(aggregated_results!A298,representatives_list!A:D,3,FALSE)</f>
        <v>PPi</v>
      </c>
      <c r="L298" t="str">
        <f>VLOOKUP(aggregated_results!A298,representatives_list!A:E,5,FALSE)</f>
        <v>ABG(+)</v>
      </c>
      <c r="M298" t="str">
        <f>VLOOKUP(A298,representatives_list!A:B,2,FALSE)</f>
        <v>Phosphopantoate/pantothenate synthetase superfamily</v>
      </c>
      <c r="N298" t="str">
        <f>VLOOKUP(B298,representatives_list!A:B,2,FALSE)</f>
        <v>Carbamate kinase-like</v>
      </c>
      <c r="O298" t="str">
        <f>VLOOKUP(aggregated_results!B298,representatives_list!A:E,5,FALSE)</f>
        <v>ABG(+)</v>
      </c>
      <c r="P298" t="str">
        <f>VLOOKUP(aggregated_results!B298,representatives_list!A:D,3,FALSE)</f>
        <v>Pi</v>
      </c>
      <c r="Q298" t="str">
        <f>VLOOKUP(aggregated_results!B298,representatives_list!A:D,4,FALSE)</f>
        <v>c.73.1</v>
      </c>
    </row>
    <row r="299" spans="1:17" x14ac:dyDescent="0.25">
      <c r="A299" t="s">
        <v>66</v>
      </c>
      <c r="B299" t="s">
        <v>49</v>
      </c>
      <c r="C299">
        <v>2.7</v>
      </c>
      <c r="D299">
        <v>3.3</v>
      </c>
      <c r="E299">
        <v>71</v>
      </c>
      <c r="F299">
        <v>146</v>
      </c>
      <c r="G299">
        <v>11</v>
      </c>
      <c r="I299" t="e">
        <f t="shared" si="4"/>
        <v>#N/A</v>
      </c>
      <c r="J299" t="str">
        <f>VLOOKUP(aggregated_results!A299,representatives_list!A:D,4,FALSE)</f>
        <v>d.58.21</v>
      </c>
      <c r="K299" t="str">
        <f>VLOOKUP(aggregated_results!A299,representatives_list!A:D,3,FALSE)</f>
        <v>PPi</v>
      </c>
      <c r="L299" t="str">
        <f>VLOOKUP(aggregated_results!A299,representatives_list!A:E,5,FALSE)</f>
        <v>N/A</v>
      </c>
      <c r="M299" t="str">
        <f>VLOOKUP(A299,representatives_list!A:B,2,FALSE)</f>
        <v>Molybdenum cofactor biosynthesis protein C, MoaC</v>
      </c>
      <c r="N299" t="str">
        <f>VLOOKUP(B299,representatives_list!A:B,2,FALSE)</f>
        <v>Influenza RNA-dependent RNA polymerase subunit PB1</v>
      </c>
      <c r="O299" t="str">
        <f>VLOOKUP(aggregated_results!B299,representatives_list!A:E,5,FALSE)</f>
        <v>ABG(–)</v>
      </c>
      <c r="P299" t="str">
        <f>VLOOKUP(aggregated_results!B299,representatives_list!A:D,3,FALSE)</f>
        <v>PPi</v>
      </c>
      <c r="Q299" t="str">
        <f>VLOOKUP(aggregated_results!B299,representatives_list!A:D,4,FALSE)</f>
        <v>N/A</v>
      </c>
    </row>
    <row r="300" spans="1:17" x14ac:dyDescent="0.25">
      <c r="A300" t="s">
        <v>66</v>
      </c>
      <c r="B300" t="s">
        <v>31</v>
      </c>
      <c r="C300">
        <v>2.7</v>
      </c>
      <c r="D300">
        <v>3.9</v>
      </c>
      <c r="E300">
        <v>79</v>
      </c>
      <c r="F300">
        <v>146</v>
      </c>
      <c r="G300">
        <v>3</v>
      </c>
      <c r="I300" t="str">
        <f t="shared" si="4"/>
        <v>x</v>
      </c>
      <c r="J300" t="str">
        <f>VLOOKUP(aggregated_results!A300,representatives_list!A:D,4,FALSE)</f>
        <v>d.58.21</v>
      </c>
      <c r="K300" t="str">
        <f>VLOOKUP(aggregated_results!A300,representatives_list!A:D,3,FALSE)</f>
        <v>PPi</v>
      </c>
      <c r="L300" t="str">
        <f>VLOOKUP(aggregated_results!A300,representatives_list!A:E,5,FALSE)</f>
        <v>N/A</v>
      </c>
      <c r="M300" t="str">
        <f>VLOOKUP(A300,representatives_list!A:B,2,FALSE)</f>
        <v>Molybdenum cofactor biosynthesis protein C, MoaC</v>
      </c>
      <c r="N300" t="str">
        <f>VLOOKUP(B300,representatives_list!A:B,2,FALSE)</f>
        <v>GHMP Kinase, C-terminal domain</v>
      </c>
      <c r="O300" t="str">
        <f>VLOOKUP(aggregated_results!B300,representatives_list!A:E,5,FALSE)</f>
        <v>ABG(+)</v>
      </c>
      <c r="P300" t="str">
        <f>VLOOKUP(aggregated_results!B300,representatives_list!A:D,3,FALSE)</f>
        <v>Pi</v>
      </c>
      <c r="Q300" t="str">
        <f>VLOOKUP(aggregated_results!B300,representatives_list!A:D,4,FALSE)</f>
        <v>d.58.26</v>
      </c>
    </row>
    <row r="301" spans="1:17" x14ac:dyDescent="0.25">
      <c r="A301" t="s">
        <v>67</v>
      </c>
      <c r="B301" t="s">
        <v>46</v>
      </c>
      <c r="C301">
        <v>2.7</v>
      </c>
      <c r="D301">
        <v>3.6</v>
      </c>
      <c r="E301">
        <v>110</v>
      </c>
      <c r="F301">
        <v>255</v>
      </c>
      <c r="G301">
        <v>7</v>
      </c>
      <c r="I301" t="e">
        <f t="shared" si="4"/>
        <v>#N/A</v>
      </c>
      <c r="J301" t="str">
        <f>VLOOKUP(aggregated_results!A301,representatives_list!A:D,4,FALSE)</f>
        <v>c.100.1</v>
      </c>
      <c r="K301" t="str">
        <f>VLOOKUP(aggregated_results!A301,representatives_list!A:D,3,FALSE)</f>
        <v>PPi</v>
      </c>
      <c r="L301" t="str">
        <f>VLOOKUP(aggregated_results!A301,representatives_list!A:E,5,FALSE)</f>
        <v>AG</v>
      </c>
      <c r="M301" t="str">
        <f>VLOOKUP(A301,representatives_list!A:B,2,FALSE)</f>
        <v>Thiamin pyrophosphokinase, catalytic domain</v>
      </c>
      <c r="N301" t="str">
        <f>VLOOKUP(B301,representatives_list!A:B,2,FALSE)</f>
        <v>Phosphopantoate/pantothenate synthetase superfamily</v>
      </c>
      <c r="O301" t="str">
        <f>VLOOKUP(aggregated_results!B301,representatives_list!A:E,5,FALSE)</f>
        <v>ABG(+)</v>
      </c>
      <c r="P301" t="str">
        <f>VLOOKUP(aggregated_results!B301,representatives_list!A:D,3,FALSE)</f>
        <v>PPi</v>
      </c>
      <c r="Q301" t="str">
        <f>VLOOKUP(aggregated_results!B301,representatives_list!A:D,4,FALSE)</f>
        <v>N/A</v>
      </c>
    </row>
    <row r="302" spans="1:17" x14ac:dyDescent="0.25">
      <c r="A302" t="s">
        <v>64</v>
      </c>
      <c r="B302" t="s">
        <v>30</v>
      </c>
      <c r="C302">
        <v>2.7</v>
      </c>
      <c r="D302">
        <v>2.8</v>
      </c>
      <c r="E302">
        <v>93</v>
      </c>
      <c r="F302">
        <v>412</v>
      </c>
      <c r="G302">
        <v>10</v>
      </c>
      <c r="I302" t="str">
        <f t="shared" si="4"/>
        <v/>
      </c>
      <c r="J302" t="str">
        <f>VLOOKUP(aggregated_results!A302,representatives_list!A:D,4,FALSE)</f>
        <v>c.146.1</v>
      </c>
      <c r="K302" t="str">
        <f>VLOOKUP(aggregated_results!A302,representatives_list!A:D,3,FALSE)</f>
        <v>Pi</v>
      </c>
      <c r="L302" t="str">
        <f>VLOOKUP(aggregated_results!A302,representatives_list!A:E,5,FALSE)</f>
        <v>N/A</v>
      </c>
      <c r="M302" t="str">
        <f>VLOOKUP(A302,representatives_list!A:B,2,FALSE)</f>
        <v>YgbK-like</v>
      </c>
      <c r="N302" t="str">
        <f>VLOOKUP(B302,representatives_list!A:B,2,FALSE)</f>
        <v>Glycerate kinase I</v>
      </c>
      <c r="O302" t="str">
        <f>VLOOKUP(aggregated_results!B302,representatives_list!A:E,5,FALSE)</f>
        <v>N/A</v>
      </c>
      <c r="P302" t="str">
        <f>VLOOKUP(aggregated_results!B302,representatives_list!A:D,3,FALSE)</f>
        <v>Pi</v>
      </c>
      <c r="Q302" t="str">
        <f>VLOOKUP(aggregated_results!B302,representatives_list!A:D,4,FALSE)</f>
        <v>c.141.1</v>
      </c>
    </row>
    <row r="303" spans="1:17" x14ac:dyDescent="0.25">
      <c r="A303" t="s">
        <v>39</v>
      </c>
      <c r="B303" t="s">
        <v>56</v>
      </c>
      <c r="C303">
        <v>2.7</v>
      </c>
      <c r="D303">
        <v>8.3000000000000007</v>
      </c>
      <c r="E303">
        <v>91</v>
      </c>
      <c r="F303">
        <v>485</v>
      </c>
      <c r="G303">
        <v>5</v>
      </c>
      <c r="I303" t="str">
        <f t="shared" si="4"/>
        <v/>
      </c>
      <c r="J303" t="str">
        <f>VLOOKUP(aggregated_results!A303,representatives_list!A:D,4,FALSE)</f>
        <v>e.41.1</v>
      </c>
      <c r="K303" t="str">
        <f>VLOOKUP(aggregated_results!A303,representatives_list!A:D,3,FALSE)</f>
        <v>PPi</v>
      </c>
      <c r="L303" t="str">
        <f>VLOOKUP(aggregated_results!A303,representatives_list!A:E,5,FALSE)</f>
        <v>AB(–)</v>
      </c>
      <c r="M303" t="str">
        <f>VLOOKUP(A303,representatives_list!A:B,2,FALSE)</f>
        <v>Adenylylcyclase toxin (the edema factor)</v>
      </c>
      <c r="N303" t="str">
        <f>VLOOKUP(B303,representatives_list!A:B,2,FALSE)</f>
        <v>GroEL equatorial domain-like</v>
      </c>
      <c r="O303" t="str">
        <f>VLOOKUP(aggregated_results!B303,representatives_list!A:E,5,FALSE)</f>
        <v>ABG(+)</v>
      </c>
      <c r="P303" t="str">
        <f>VLOOKUP(aggregated_results!B303,representatives_list!A:D,3,FALSE)</f>
        <v>Pi</v>
      </c>
      <c r="Q303" t="str">
        <f>VLOOKUP(aggregated_results!B303,representatives_list!A:D,4,FALSE)</f>
        <v>a.129.1</v>
      </c>
    </row>
    <row r="304" spans="1:17" x14ac:dyDescent="0.25">
      <c r="A304" t="s">
        <v>74</v>
      </c>
      <c r="B304" t="s">
        <v>57</v>
      </c>
      <c r="C304">
        <v>2.7</v>
      </c>
      <c r="D304">
        <v>5.3</v>
      </c>
      <c r="E304">
        <v>94</v>
      </c>
      <c r="F304">
        <v>469</v>
      </c>
      <c r="G304">
        <v>6</v>
      </c>
      <c r="I304" t="str">
        <f t="shared" si="4"/>
        <v/>
      </c>
      <c r="J304" t="str">
        <f>VLOOKUP(aggregated_results!A304,representatives_list!A:D,4,FALSE)</f>
        <v>c.26.1</v>
      </c>
      <c r="K304" t="str">
        <f>VLOOKUP(aggregated_results!A304,representatives_list!A:D,3,FALSE)</f>
        <v>PPi</v>
      </c>
      <c r="L304" t="str">
        <f>VLOOKUP(aggregated_results!A304,representatives_list!A:E,5,FALSE)</f>
        <v>ABG(–)</v>
      </c>
      <c r="M304" t="str">
        <f>VLOOKUP(A304,representatives_list!A:B,2,FALSE)</f>
        <v>Nucleotidylyl transferase</v>
      </c>
      <c r="N304" t="str">
        <f>VLOOKUP(B304,representatives_list!A:B,2,FALSE)</f>
        <v>RibA-like</v>
      </c>
      <c r="O304" t="str">
        <f>VLOOKUP(aggregated_results!B304,representatives_list!A:E,5,FALSE)</f>
        <v>AB</v>
      </c>
      <c r="P304" t="str">
        <f>VLOOKUP(aggregated_results!B304,representatives_list!A:D,3,FALSE)</f>
        <v>PPi</v>
      </c>
      <c r="Q304" t="str">
        <f>VLOOKUP(aggregated_results!B304,representatives_list!A:D,4,FALSE)</f>
        <v>c.144.1</v>
      </c>
    </row>
    <row r="305" spans="1:17" x14ac:dyDescent="0.25">
      <c r="A305" t="s">
        <v>70</v>
      </c>
      <c r="B305" t="s">
        <v>26</v>
      </c>
      <c r="C305">
        <v>2.6</v>
      </c>
      <c r="D305">
        <v>3.8</v>
      </c>
      <c r="E305">
        <v>64</v>
      </c>
      <c r="F305">
        <v>393</v>
      </c>
      <c r="G305">
        <v>8</v>
      </c>
      <c r="I305" t="str">
        <f t="shared" si="4"/>
        <v/>
      </c>
      <c r="J305" t="str">
        <f>VLOOKUP(aggregated_results!A305,representatives_list!A:D,4,FALSE)</f>
        <v>d.130.1</v>
      </c>
      <c r="K305" t="str">
        <f>VLOOKUP(aggregated_results!A305,representatives_list!A:D,3,FALSE)</f>
        <v>PPPi</v>
      </c>
      <c r="L305" t="str">
        <f>VLOOKUP(aggregated_results!A305,representatives_list!A:E,5,FALSE)</f>
        <v>ABG(–)</v>
      </c>
      <c r="M305" t="str">
        <f>VLOOKUP(A305,representatives_list!A:B,2,FALSE)</f>
        <v>S-adenosylmethionine synthetase</v>
      </c>
      <c r="N305" t="str">
        <f>VLOOKUP(B305,representatives_list!A:B,2,FALSE)</f>
        <v>GlnB-like</v>
      </c>
      <c r="O305" t="str">
        <f>VLOOKUP(aggregated_results!B305,representatives_list!A:E,5,FALSE)</f>
        <v>ABG(–)</v>
      </c>
      <c r="P305" t="str">
        <f>VLOOKUP(aggregated_results!B305,representatives_list!A:D,3,FALSE)</f>
        <v>Pi</v>
      </c>
      <c r="Q305" t="str">
        <f>VLOOKUP(aggregated_results!B305,representatives_list!A:D,4,FALSE)</f>
        <v>d.58.5</v>
      </c>
    </row>
    <row r="306" spans="1:17" x14ac:dyDescent="0.25">
      <c r="A306" t="s">
        <v>85</v>
      </c>
      <c r="B306" t="s">
        <v>66</v>
      </c>
      <c r="C306">
        <v>2.6</v>
      </c>
      <c r="D306">
        <v>4.7</v>
      </c>
      <c r="E306">
        <v>77</v>
      </c>
      <c r="F306">
        <v>480</v>
      </c>
      <c r="G306">
        <v>13</v>
      </c>
      <c r="I306" t="str">
        <f t="shared" si="4"/>
        <v/>
      </c>
      <c r="J306" t="str">
        <f>VLOOKUP(aggregated_results!A306,representatives_list!A:D,4,FALSE)</f>
        <v>a.211.1</v>
      </c>
      <c r="K306" t="str">
        <f>VLOOKUP(aggregated_results!A306,representatives_list!A:D,3,FALSE)</f>
        <v>PPPi</v>
      </c>
      <c r="L306" t="str">
        <f>VLOOKUP(aggregated_results!A306,representatives_list!A:E,5,FALSE)</f>
        <v>BG(+)</v>
      </c>
      <c r="M306" t="str">
        <f>VLOOKUP(A306,representatives_list!A:B,2,FALSE)</f>
        <v>HD-domain/PDEase-like</v>
      </c>
      <c r="N306" t="str">
        <f>VLOOKUP(B306,representatives_list!A:B,2,FALSE)</f>
        <v>Molybdenum cofactor biosynthesis protein C, MoaC</v>
      </c>
      <c r="O306" t="str">
        <f>VLOOKUP(aggregated_results!B306,representatives_list!A:E,5,FALSE)</f>
        <v>N/A</v>
      </c>
      <c r="P306" t="str">
        <f>VLOOKUP(aggregated_results!B306,representatives_list!A:D,3,FALSE)</f>
        <v>PPi</v>
      </c>
      <c r="Q306" t="str">
        <f>VLOOKUP(aggregated_results!B306,representatives_list!A:D,4,FALSE)</f>
        <v>d.58.21</v>
      </c>
    </row>
    <row r="307" spans="1:17" x14ac:dyDescent="0.25">
      <c r="A307" t="s">
        <v>85</v>
      </c>
      <c r="B307" t="s">
        <v>26</v>
      </c>
      <c r="C307">
        <v>2.6</v>
      </c>
      <c r="D307">
        <v>3.9</v>
      </c>
      <c r="E307">
        <v>67</v>
      </c>
      <c r="F307">
        <v>480</v>
      </c>
      <c r="G307">
        <v>9</v>
      </c>
      <c r="I307" t="str">
        <f t="shared" si="4"/>
        <v/>
      </c>
      <c r="J307" t="str">
        <f>VLOOKUP(aggregated_results!A307,representatives_list!A:D,4,FALSE)</f>
        <v>a.211.1</v>
      </c>
      <c r="K307" t="str">
        <f>VLOOKUP(aggregated_results!A307,representatives_list!A:D,3,FALSE)</f>
        <v>PPPi</v>
      </c>
      <c r="L307" t="str">
        <f>VLOOKUP(aggregated_results!A307,representatives_list!A:E,5,FALSE)</f>
        <v>BG(+)</v>
      </c>
      <c r="M307" t="str">
        <f>VLOOKUP(A307,representatives_list!A:B,2,FALSE)</f>
        <v>HD-domain/PDEase-like</v>
      </c>
      <c r="N307" t="str">
        <f>VLOOKUP(B307,representatives_list!A:B,2,FALSE)</f>
        <v>GlnB-like</v>
      </c>
      <c r="O307" t="str">
        <f>VLOOKUP(aggregated_results!B307,representatives_list!A:E,5,FALSE)</f>
        <v>ABG(–)</v>
      </c>
      <c r="P307" t="str">
        <f>VLOOKUP(aggregated_results!B307,representatives_list!A:D,3,FALSE)</f>
        <v>Pi</v>
      </c>
      <c r="Q307" t="str">
        <f>VLOOKUP(aggregated_results!B307,representatives_list!A:D,4,FALSE)</f>
        <v>d.58.5</v>
      </c>
    </row>
    <row r="308" spans="1:17" x14ac:dyDescent="0.25">
      <c r="A308" t="s">
        <v>49</v>
      </c>
      <c r="B308" t="s">
        <v>77</v>
      </c>
      <c r="C308">
        <v>2.6</v>
      </c>
      <c r="D308">
        <v>2.5</v>
      </c>
      <c r="E308">
        <v>40</v>
      </c>
      <c r="F308">
        <v>745</v>
      </c>
      <c r="G308">
        <v>10</v>
      </c>
      <c r="I308" t="e">
        <f t="shared" si="4"/>
        <v>#N/A</v>
      </c>
      <c r="J308" t="str">
        <f>VLOOKUP(aggregated_results!A308,representatives_list!A:D,4,FALSE)</f>
        <v>N/A</v>
      </c>
      <c r="K308" t="str">
        <f>VLOOKUP(aggregated_results!A308,representatives_list!A:D,3,FALSE)</f>
        <v>PPi</v>
      </c>
      <c r="L308" t="str">
        <f>VLOOKUP(aggregated_results!A308,representatives_list!A:E,5,FALSE)</f>
        <v>ABG(–)</v>
      </c>
      <c r="M308" t="str">
        <f>VLOOKUP(A308,representatives_list!A:B,2,FALSE)</f>
        <v>Influenza RNA-dependent RNA polymerase subunit PB1</v>
      </c>
      <c r="N308" t="str">
        <f>VLOOKUP(B308,representatives_list!A:B,2,FALSE)</f>
        <v>Nucleotidyltransferase</v>
      </c>
      <c r="O308" t="str">
        <f>VLOOKUP(aggregated_results!B308,representatives_list!A:E,5,FALSE)</f>
        <v>ABG(–)</v>
      </c>
      <c r="P308" t="str">
        <f>VLOOKUP(aggregated_results!B308,representatives_list!A:D,3,FALSE)</f>
        <v>PPi</v>
      </c>
      <c r="Q308" t="str">
        <f>VLOOKUP(aggregated_results!B308,representatives_list!A:D,4,FALSE)</f>
        <v>d.218.1</v>
      </c>
    </row>
    <row r="309" spans="1:17" x14ac:dyDescent="0.25">
      <c r="A309" t="s">
        <v>68</v>
      </c>
      <c r="B309" t="s">
        <v>31</v>
      </c>
      <c r="C309">
        <v>2.6</v>
      </c>
      <c r="D309">
        <v>5.3</v>
      </c>
      <c r="E309">
        <v>80</v>
      </c>
      <c r="F309">
        <v>110</v>
      </c>
      <c r="G309">
        <v>8</v>
      </c>
      <c r="I309" t="str">
        <f t="shared" si="4"/>
        <v/>
      </c>
      <c r="J309" t="str">
        <f>VLOOKUP(aggregated_results!A309,representatives_list!A:D,4,FALSE)</f>
        <v>a.204.1</v>
      </c>
      <c r="K309" t="str">
        <f>VLOOKUP(aggregated_results!A309,representatives_list!A:D,3,FALSE)</f>
        <v>PPi</v>
      </c>
      <c r="L309" t="str">
        <f>VLOOKUP(aggregated_results!A309,representatives_list!A:E,5,FALSE)</f>
        <v>ABG(+)</v>
      </c>
      <c r="M309" t="str">
        <f>VLOOKUP(A309,representatives_list!A:B,2,FALSE)</f>
        <v>all-alpha NTP pyrophosphatases</v>
      </c>
      <c r="N309" t="str">
        <f>VLOOKUP(B309,representatives_list!A:B,2,FALSE)</f>
        <v>GHMP Kinase, C-terminal domain</v>
      </c>
      <c r="O309" t="str">
        <f>VLOOKUP(aggregated_results!B309,representatives_list!A:E,5,FALSE)</f>
        <v>ABG(+)</v>
      </c>
      <c r="P309" t="str">
        <f>VLOOKUP(aggregated_results!B309,representatives_list!A:D,3,FALSE)</f>
        <v>Pi</v>
      </c>
      <c r="Q309" t="str">
        <f>VLOOKUP(aggregated_results!B309,representatives_list!A:D,4,FALSE)</f>
        <v>d.58.26</v>
      </c>
    </row>
    <row r="310" spans="1:17" x14ac:dyDescent="0.25">
      <c r="A310" t="s">
        <v>28</v>
      </c>
      <c r="B310" t="s">
        <v>51</v>
      </c>
      <c r="C310">
        <v>2.6</v>
      </c>
      <c r="D310">
        <v>8.6</v>
      </c>
      <c r="E310">
        <v>121</v>
      </c>
      <c r="F310">
        <v>301</v>
      </c>
      <c r="G310">
        <v>10</v>
      </c>
      <c r="I310" t="str">
        <f t="shared" si="4"/>
        <v/>
      </c>
      <c r="J310" t="str">
        <f>VLOOKUP(aggregated_results!A310,representatives_list!A:D,4,FALSE)</f>
        <v>c.111.1</v>
      </c>
      <c r="K310" t="str">
        <f>VLOOKUP(aggregated_results!A310,representatives_list!A:D,3,FALSE)</f>
        <v>PPi</v>
      </c>
      <c r="L310" t="str">
        <f>VLOOKUP(aggregated_results!A310,representatives_list!A:E,5,FALSE)</f>
        <v>ABG(+)</v>
      </c>
      <c r="M310" t="str">
        <f>VLOOKUP(A310,representatives_list!A:B,2,FALSE)</f>
        <v>Activating enzymes of the ubiquitin-like proteins</v>
      </c>
      <c r="N310" t="str">
        <f>VLOOKUP(B310,representatives_list!A:B,2,FALSE)</f>
        <v>DhaL-like</v>
      </c>
      <c r="O310" t="str">
        <f>VLOOKUP(aggregated_results!B310,representatives_list!A:E,5,FALSE)</f>
        <v>BG(–)</v>
      </c>
      <c r="P310" t="str">
        <f>VLOOKUP(aggregated_results!B310,representatives_list!A:D,3,FALSE)</f>
        <v>Pi</v>
      </c>
      <c r="Q310" t="str">
        <f>VLOOKUP(aggregated_results!B310,representatives_list!A:D,4,FALSE)</f>
        <v>a.208.1</v>
      </c>
    </row>
    <row r="311" spans="1:17" x14ac:dyDescent="0.25">
      <c r="A311" t="s">
        <v>79</v>
      </c>
      <c r="B311" t="s">
        <v>28</v>
      </c>
      <c r="C311">
        <v>2.6</v>
      </c>
      <c r="D311">
        <v>4.0999999999999996</v>
      </c>
      <c r="E311">
        <v>115</v>
      </c>
      <c r="F311">
        <v>815</v>
      </c>
      <c r="G311">
        <v>6</v>
      </c>
      <c r="I311" t="str">
        <f t="shared" si="4"/>
        <v/>
      </c>
      <c r="J311" t="str">
        <f>VLOOKUP(aggregated_results!A311,representatives_list!A:D,4,FALSE)</f>
        <v>c.76.1</v>
      </c>
      <c r="K311" t="str">
        <f>VLOOKUP(aggregated_results!A311,representatives_list!A:D,3,FALSE)</f>
        <v>PPi</v>
      </c>
      <c r="L311" t="str">
        <f>VLOOKUP(aggregated_results!A311,representatives_list!A:E,5,FALSE)</f>
        <v>A(–)</v>
      </c>
      <c r="M311" t="str">
        <f>VLOOKUP(A311,representatives_list!A:B,2,FALSE)</f>
        <v>Alkaline phosphatase-like</v>
      </c>
      <c r="N311" t="str">
        <f>VLOOKUP(B311,representatives_list!A:B,2,FALSE)</f>
        <v>Activating enzymes of the ubiquitin-like proteins</v>
      </c>
      <c r="O311" t="str">
        <f>VLOOKUP(aggregated_results!B311,representatives_list!A:E,5,FALSE)</f>
        <v>ABG(+)</v>
      </c>
      <c r="P311" t="str">
        <f>VLOOKUP(aggregated_results!B311,representatives_list!A:D,3,FALSE)</f>
        <v>PPi</v>
      </c>
      <c r="Q311" t="str">
        <f>VLOOKUP(aggregated_results!B311,representatives_list!A:D,4,FALSE)</f>
        <v>c.111.1</v>
      </c>
    </row>
    <row r="312" spans="1:17" x14ac:dyDescent="0.25">
      <c r="A312" t="s">
        <v>69</v>
      </c>
      <c r="B312" t="s">
        <v>51</v>
      </c>
      <c r="C312">
        <v>2.6</v>
      </c>
      <c r="D312">
        <v>3.8</v>
      </c>
      <c r="E312">
        <v>81</v>
      </c>
      <c r="F312">
        <v>158</v>
      </c>
      <c r="G312">
        <v>7</v>
      </c>
      <c r="I312" t="str">
        <f t="shared" si="4"/>
        <v/>
      </c>
      <c r="J312" t="str">
        <f>VLOOKUP(aggregated_results!A312,representatives_list!A:D,4,FALSE)</f>
        <v>f.42.1</v>
      </c>
      <c r="K312" t="str">
        <f>VLOOKUP(aggregated_results!A312,representatives_list!A:D,3,FALSE)</f>
        <v>PPi</v>
      </c>
      <c r="L312" t="str">
        <f>VLOOKUP(aggregated_results!A312,representatives_list!A:E,5,FALSE)</f>
        <v>AB(–)</v>
      </c>
      <c r="M312" t="str">
        <f>VLOOKUP(A312,representatives_list!A:B,2,FALSE)</f>
        <v>Mitochondrial carrier</v>
      </c>
      <c r="N312" t="str">
        <f>VLOOKUP(B312,representatives_list!A:B,2,FALSE)</f>
        <v>DhaL-like</v>
      </c>
      <c r="O312" t="str">
        <f>VLOOKUP(aggregated_results!B312,representatives_list!A:E,5,FALSE)</f>
        <v>BG(–)</v>
      </c>
      <c r="P312" t="str">
        <f>VLOOKUP(aggregated_results!B312,representatives_list!A:D,3,FALSE)</f>
        <v>Pi</v>
      </c>
      <c r="Q312" t="str">
        <f>VLOOKUP(aggregated_results!B312,representatives_list!A:D,4,FALSE)</f>
        <v>a.208.1</v>
      </c>
    </row>
    <row r="313" spans="1:17" x14ac:dyDescent="0.25">
      <c r="A313" t="s">
        <v>17</v>
      </c>
      <c r="B313" t="s">
        <v>52</v>
      </c>
      <c r="C313">
        <v>2.6</v>
      </c>
      <c r="D313">
        <v>5.2</v>
      </c>
      <c r="E313">
        <v>69</v>
      </c>
      <c r="F313">
        <v>427</v>
      </c>
      <c r="G313">
        <v>7</v>
      </c>
      <c r="I313" t="str">
        <f t="shared" si="4"/>
        <v/>
      </c>
      <c r="J313" t="str">
        <f>VLOOKUP(aggregated_results!A313,representatives_list!A:D,4,FALSE)</f>
        <v>e.8.1</v>
      </c>
      <c r="K313" t="str">
        <f>VLOOKUP(aggregated_results!A313,representatives_list!A:D,3,FALSE)</f>
        <v>PPi</v>
      </c>
      <c r="L313" t="str">
        <f>VLOOKUP(aggregated_results!A313,representatives_list!A:E,5,FALSE)</f>
        <v>ABG(–)</v>
      </c>
      <c r="M313" t="str">
        <f>VLOOKUP(A313,representatives_list!A:B,2,FALSE)</f>
        <v>DNA/RNA polymerases</v>
      </c>
      <c r="N313" t="str">
        <f>VLOOKUP(B313,representatives_list!A:B,2,FALSE)</f>
        <v>PurM N-terminal domain-like</v>
      </c>
      <c r="O313" t="str">
        <f>VLOOKUP(aggregated_results!B313,representatives_list!A:E,5,FALSE)</f>
        <v>ABG(+)</v>
      </c>
      <c r="P313" t="str">
        <f>VLOOKUP(aggregated_results!B313,representatives_list!A:D,3,FALSE)</f>
        <v>Pi</v>
      </c>
      <c r="Q313" t="str">
        <f>VLOOKUP(aggregated_results!B313,representatives_list!A:D,4,FALSE)</f>
        <v>d.79.4</v>
      </c>
    </row>
    <row r="314" spans="1:17" x14ac:dyDescent="0.25">
      <c r="A314" t="s">
        <v>60</v>
      </c>
      <c r="B314" t="s">
        <v>47</v>
      </c>
      <c r="C314">
        <v>2.6</v>
      </c>
      <c r="D314">
        <v>4.2</v>
      </c>
      <c r="E314">
        <v>67</v>
      </c>
      <c r="F314">
        <v>1095</v>
      </c>
      <c r="G314">
        <v>6</v>
      </c>
      <c r="I314" t="e">
        <f t="shared" si="4"/>
        <v>#N/A</v>
      </c>
      <c r="J314" t="str">
        <f>VLOOKUP(aggregated_results!A314,representatives_list!A:D,4,FALSE)</f>
        <v>N/A</v>
      </c>
      <c r="K314" t="str">
        <f>VLOOKUP(aggregated_results!A314,representatives_list!A:D,3,FALSE)</f>
        <v>PPi</v>
      </c>
      <c r="L314" t="str">
        <f>VLOOKUP(aggregated_results!A314,representatives_list!A:E,5,FALSE)</f>
        <v>ABG(+)</v>
      </c>
      <c r="M314" t="str">
        <f>VLOOKUP(A314,representatives_list!A:B,2,FALSE)</f>
        <v>Virion DNA-directed RNA polymerase domain</v>
      </c>
      <c r="N314" t="str">
        <f>VLOOKUP(B314,representatives_list!A:B,2,FALSE)</f>
        <v>6-hydroxymethyl-7,8-dihydropterin pyrophosphokinase, HPPK</v>
      </c>
      <c r="O314" t="str">
        <f>VLOOKUP(aggregated_results!B314,representatives_list!A:E,5,FALSE)</f>
        <v>AB(+)</v>
      </c>
      <c r="P314" t="str">
        <f>VLOOKUP(aggregated_results!B314,representatives_list!A:D,3,FALSE)</f>
        <v>PPi</v>
      </c>
      <c r="Q314" t="str">
        <f>VLOOKUP(aggregated_results!B314,representatives_list!A:D,4,FALSE)</f>
        <v>d.58.30</v>
      </c>
    </row>
    <row r="315" spans="1:17" x14ac:dyDescent="0.25">
      <c r="A315" t="s">
        <v>55</v>
      </c>
      <c r="B315" t="s">
        <v>32</v>
      </c>
      <c r="C315">
        <v>2.6</v>
      </c>
      <c r="D315">
        <v>12.3</v>
      </c>
      <c r="E315">
        <v>82</v>
      </c>
      <c r="F315">
        <v>321</v>
      </c>
      <c r="G315">
        <v>11</v>
      </c>
      <c r="I315" t="str">
        <f t="shared" si="4"/>
        <v/>
      </c>
      <c r="J315" t="str">
        <f>VLOOKUP(aggregated_results!A315,representatives_list!A:D,4,FALSE)</f>
        <v>e.13.1</v>
      </c>
      <c r="K315" t="str">
        <f>VLOOKUP(aggregated_results!A315,representatives_list!A:D,3,FALSE)</f>
        <v>PPi</v>
      </c>
      <c r="L315" t="str">
        <f>VLOOKUP(aggregated_results!A315,representatives_list!A:E,5,FALSE)</f>
        <v>AB(–)</v>
      </c>
      <c r="M315" t="str">
        <f>VLOOKUP(A315,representatives_list!A:B,2,FALSE)</f>
        <v>DNA primase core</v>
      </c>
      <c r="N315" t="str">
        <f>VLOOKUP(B315,representatives_list!A:B,2,FALSE)</f>
        <v>Phosphoenolpyruvate/pyruvate domain</v>
      </c>
      <c r="O315" t="str">
        <f>VLOOKUP(aggregated_results!B315,representatives_list!A:E,5,FALSE)</f>
        <v>ABG(–)</v>
      </c>
      <c r="P315" t="str">
        <f>VLOOKUP(aggregated_results!B315,representatives_list!A:D,3,FALSE)</f>
        <v>Pi</v>
      </c>
      <c r="Q315" t="str">
        <f>VLOOKUP(aggregated_results!B315,representatives_list!A:D,4,FALSE)</f>
        <v>c.1.12</v>
      </c>
    </row>
    <row r="316" spans="1:17" x14ac:dyDescent="0.25">
      <c r="A316" t="s">
        <v>55</v>
      </c>
      <c r="B316" t="s">
        <v>56</v>
      </c>
      <c r="C316">
        <v>2.6</v>
      </c>
      <c r="D316">
        <v>10.6</v>
      </c>
      <c r="E316">
        <v>76</v>
      </c>
      <c r="F316">
        <v>321</v>
      </c>
      <c r="G316">
        <v>11</v>
      </c>
      <c r="I316" t="str">
        <f t="shared" si="4"/>
        <v/>
      </c>
      <c r="J316" t="str">
        <f>VLOOKUP(aggregated_results!A316,representatives_list!A:D,4,FALSE)</f>
        <v>e.13.1</v>
      </c>
      <c r="K316" t="str">
        <f>VLOOKUP(aggregated_results!A316,representatives_list!A:D,3,FALSE)</f>
        <v>PPi</v>
      </c>
      <c r="L316" t="str">
        <f>VLOOKUP(aggregated_results!A316,representatives_list!A:E,5,FALSE)</f>
        <v>AB(–)</v>
      </c>
      <c r="M316" t="str">
        <f>VLOOKUP(A316,representatives_list!A:B,2,FALSE)</f>
        <v>DNA primase core</v>
      </c>
      <c r="N316" t="str">
        <f>VLOOKUP(B316,representatives_list!A:B,2,FALSE)</f>
        <v>GroEL equatorial domain-like</v>
      </c>
      <c r="O316" t="str">
        <f>VLOOKUP(aggregated_results!B316,representatives_list!A:E,5,FALSE)</f>
        <v>ABG(+)</v>
      </c>
      <c r="P316" t="str">
        <f>VLOOKUP(aggregated_results!B316,representatives_list!A:D,3,FALSE)</f>
        <v>Pi</v>
      </c>
      <c r="Q316" t="str">
        <f>VLOOKUP(aggregated_results!B316,representatives_list!A:D,4,FALSE)</f>
        <v>a.129.1</v>
      </c>
    </row>
    <row r="317" spans="1:17" x14ac:dyDescent="0.25">
      <c r="A317" t="s">
        <v>55</v>
      </c>
      <c r="B317" t="s">
        <v>30</v>
      </c>
      <c r="C317">
        <v>2.6</v>
      </c>
      <c r="D317">
        <v>4</v>
      </c>
      <c r="E317">
        <v>88</v>
      </c>
      <c r="F317">
        <v>321</v>
      </c>
      <c r="G317">
        <v>10</v>
      </c>
      <c r="I317" t="str">
        <f t="shared" si="4"/>
        <v/>
      </c>
      <c r="J317" t="str">
        <f>VLOOKUP(aggregated_results!A317,representatives_list!A:D,4,FALSE)</f>
        <v>e.13.1</v>
      </c>
      <c r="K317" t="str">
        <f>VLOOKUP(aggregated_results!A317,representatives_list!A:D,3,FALSE)</f>
        <v>PPi</v>
      </c>
      <c r="L317" t="str">
        <f>VLOOKUP(aggregated_results!A317,representatives_list!A:E,5,FALSE)</f>
        <v>AB(–)</v>
      </c>
      <c r="M317" t="str">
        <f>VLOOKUP(A317,representatives_list!A:B,2,FALSE)</f>
        <v>DNA primase core</v>
      </c>
      <c r="N317" t="str">
        <f>VLOOKUP(B317,representatives_list!A:B,2,FALSE)</f>
        <v>Glycerate kinase I</v>
      </c>
      <c r="O317" t="str">
        <f>VLOOKUP(aggregated_results!B317,representatives_list!A:E,5,FALSE)</f>
        <v>N/A</v>
      </c>
      <c r="P317" t="str">
        <f>VLOOKUP(aggregated_results!B317,representatives_list!A:D,3,FALSE)</f>
        <v>Pi</v>
      </c>
      <c r="Q317" t="str">
        <f>VLOOKUP(aggregated_results!B317,representatives_list!A:D,4,FALSE)</f>
        <v>c.141.1</v>
      </c>
    </row>
    <row r="318" spans="1:17" x14ac:dyDescent="0.25">
      <c r="A318" t="s">
        <v>21</v>
      </c>
      <c r="B318" t="s">
        <v>35</v>
      </c>
      <c r="C318">
        <v>2.6</v>
      </c>
      <c r="D318">
        <v>4.9000000000000004</v>
      </c>
      <c r="E318">
        <v>163</v>
      </c>
      <c r="F318">
        <v>753</v>
      </c>
      <c r="G318">
        <v>9</v>
      </c>
      <c r="I318" t="str">
        <f t="shared" si="4"/>
        <v/>
      </c>
      <c r="J318" t="str">
        <f>VLOOKUP(aggregated_results!A318,representatives_list!A:D,4,FALSE)</f>
        <v>d.115.1</v>
      </c>
      <c r="K318" t="str">
        <f>VLOOKUP(aggregated_results!A318,representatives_list!A:D,3,FALSE)</f>
        <v>PPi</v>
      </c>
      <c r="L318" t="str">
        <f>VLOOKUP(aggregated_results!A318,representatives_list!A:E,5,FALSE)</f>
        <v>ABG(–)</v>
      </c>
      <c r="M318" t="str">
        <f>VLOOKUP(A318,representatives_list!A:B,2,FALSE)</f>
        <v>YrdC/RibB</v>
      </c>
      <c r="N318" t="str">
        <f>VLOOKUP(B318,representatives_list!A:B,2,FALSE)</f>
        <v>Phosphoglycerate kinase</v>
      </c>
      <c r="O318" t="str">
        <f>VLOOKUP(aggregated_results!B318,representatives_list!A:E,5,FALSE)</f>
        <v>ABG(–)</v>
      </c>
      <c r="P318" t="str">
        <f>VLOOKUP(aggregated_results!B318,representatives_list!A:D,3,FALSE)</f>
        <v>Pi</v>
      </c>
      <c r="Q318" t="str">
        <f>VLOOKUP(aggregated_results!B318,representatives_list!A:D,4,FALSE)</f>
        <v>c.86.1</v>
      </c>
    </row>
    <row r="319" spans="1:17" x14ac:dyDescent="0.25">
      <c r="A319" t="s">
        <v>21</v>
      </c>
      <c r="B319" t="s">
        <v>64</v>
      </c>
      <c r="C319">
        <v>2.6</v>
      </c>
      <c r="D319">
        <v>8.1</v>
      </c>
      <c r="E319">
        <v>128</v>
      </c>
      <c r="F319">
        <v>753</v>
      </c>
      <c r="G319">
        <v>5</v>
      </c>
      <c r="I319" t="str">
        <f t="shared" si="4"/>
        <v/>
      </c>
      <c r="J319" t="str">
        <f>VLOOKUP(aggregated_results!A319,representatives_list!A:D,4,FALSE)</f>
        <v>d.115.1</v>
      </c>
      <c r="K319" t="str">
        <f>VLOOKUP(aggregated_results!A319,representatives_list!A:D,3,FALSE)</f>
        <v>PPi</v>
      </c>
      <c r="L319" t="str">
        <f>VLOOKUP(aggregated_results!A319,representatives_list!A:E,5,FALSE)</f>
        <v>ABG(–)</v>
      </c>
      <c r="M319" t="str">
        <f>VLOOKUP(A319,representatives_list!A:B,2,FALSE)</f>
        <v>YrdC/RibB</v>
      </c>
      <c r="N319" t="str">
        <f>VLOOKUP(B319,representatives_list!A:B,2,FALSE)</f>
        <v>YgbK-like</v>
      </c>
      <c r="O319" t="str">
        <f>VLOOKUP(aggregated_results!B319,representatives_list!A:E,5,FALSE)</f>
        <v>N/A</v>
      </c>
      <c r="P319" t="str">
        <f>VLOOKUP(aggregated_results!B319,representatives_list!A:D,3,FALSE)</f>
        <v>Pi</v>
      </c>
      <c r="Q319" t="str">
        <f>VLOOKUP(aggregated_results!B319,representatives_list!A:D,4,FALSE)</f>
        <v>c.146.1</v>
      </c>
    </row>
    <row r="320" spans="1:17" x14ac:dyDescent="0.25">
      <c r="A320" t="s">
        <v>66</v>
      </c>
      <c r="B320" t="s">
        <v>17</v>
      </c>
      <c r="C320">
        <v>2.6</v>
      </c>
      <c r="D320">
        <v>3.9</v>
      </c>
      <c r="E320">
        <v>81</v>
      </c>
      <c r="F320">
        <v>146</v>
      </c>
      <c r="G320">
        <v>10</v>
      </c>
      <c r="I320" t="str">
        <f t="shared" si="4"/>
        <v/>
      </c>
      <c r="J320" t="str">
        <f>VLOOKUP(aggregated_results!A320,representatives_list!A:D,4,FALSE)</f>
        <v>d.58.21</v>
      </c>
      <c r="K320" t="str">
        <f>VLOOKUP(aggregated_results!A320,representatives_list!A:D,3,FALSE)</f>
        <v>PPi</v>
      </c>
      <c r="L320" t="str">
        <f>VLOOKUP(aggregated_results!A320,representatives_list!A:E,5,FALSE)</f>
        <v>N/A</v>
      </c>
      <c r="M320" t="str">
        <f>VLOOKUP(A320,representatives_list!A:B,2,FALSE)</f>
        <v>Molybdenum cofactor biosynthesis protein C, MoaC</v>
      </c>
      <c r="N320" t="str">
        <f>VLOOKUP(B320,representatives_list!A:B,2,FALSE)</f>
        <v>DNA/RNA polymerases</v>
      </c>
      <c r="O320" t="str">
        <f>VLOOKUP(aggregated_results!B320,representatives_list!A:E,5,FALSE)</f>
        <v>ABG(–)</v>
      </c>
      <c r="P320" t="str">
        <f>VLOOKUP(aggregated_results!B320,representatives_list!A:D,3,FALSE)</f>
        <v>PPi</v>
      </c>
      <c r="Q320" t="str">
        <f>VLOOKUP(aggregated_results!B320,representatives_list!A:D,4,FALSE)</f>
        <v>e.8.1</v>
      </c>
    </row>
    <row r="321" spans="1:17" x14ac:dyDescent="0.25">
      <c r="A321" t="s">
        <v>67</v>
      </c>
      <c r="B321" t="s">
        <v>27</v>
      </c>
      <c r="C321">
        <v>2.6</v>
      </c>
      <c r="D321">
        <v>4.5999999999999996</v>
      </c>
      <c r="E321">
        <v>115</v>
      </c>
      <c r="F321">
        <v>255</v>
      </c>
      <c r="G321">
        <v>11</v>
      </c>
      <c r="I321" t="str">
        <f t="shared" si="4"/>
        <v/>
      </c>
      <c r="J321" t="str">
        <f>VLOOKUP(aggregated_results!A321,representatives_list!A:D,4,FALSE)</f>
        <v>c.100.1</v>
      </c>
      <c r="K321" t="str">
        <f>VLOOKUP(aggregated_results!A321,representatives_list!A:D,3,FALSE)</f>
        <v>PPi</v>
      </c>
      <c r="L321" t="str">
        <f>VLOOKUP(aggregated_results!A321,representatives_list!A:E,5,FALSE)</f>
        <v>AG</v>
      </c>
      <c r="M321" t="str">
        <f>VLOOKUP(A321,representatives_list!A:B,2,FALSE)</f>
        <v>Thiamin pyrophosphokinase, catalytic domain</v>
      </c>
      <c r="N321" t="str">
        <f>VLOOKUP(B321,representatives_list!A:B,2,FALSE)</f>
        <v>CoaB-like</v>
      </c>
      <c r="O321" t="str">
        <f>VLOOKUP(aggregated_results!B321,representatives_list!A:E,5,FALSE)</f>
        <v>ABG(–)</v>
      </c>
      <c r="P321" t="str">
        <f>VLOOKUP(aggregated_results!B321,representatives_list!A:D,3,FALSE)</f>
        <v>PPi</v>
      </c>
      <c r="Q321" t="str">
        <f>VLOOKUP(aggregated_results!B321,representatives_list!A:D,4,FALSE)</f>
        <v>c.72.3</v>
      </c>
    </row>
    <row r="322" spans="1:17" x14ac:dyDescent="0.25">
      <c r="A322" t="s">
        <v>67</v>
      </c>
      <c r="B322" t="s">
        <v>52</v>
      </c>
      <c r="C322">
        <v>2.6</v>
      </c>
      <c r="D322">
        <v>3.2</v>
      </c>
      <c r="E322">
        <v>80</v>
      </c>
      <c r="F322">
        <v>255</v>
      </c>
      <c r="G322">
        <v>6</v>
      </c>
      <c r="I322" t="str">
        <f t="shared" si="4"/>
        <v/>
      </c>
      <c r="J322" t="str">
        <f>VLOOKUP(aggregated_results!A322,representatives_list!A:D,4,FALSE)</f>
        <v>c.100.1</v>
      </c>
      <c r="K322" t="str">
        <f>VLOOKUP(aggregated_results!A322,representatives_list!A:D,3,FALSE)</f>
        <v>PPi</v>
      </c>
      <c r="L322" t="str">
        <f>VLOOKUP(aggregated_results!A322,representatives_list!A:E,5,FALSE)</f>
        <v>AG</v>
      </c>
      <c r="M322" t="str">
        <f>VLOOKUP(A322,representatives_list!A:B,2,FALSE)</f>
        <v>Thiamin pyrophosphokinase, catalytic domain</v>
      </c>
      <c r="N322" t="str">
        <f>VLOOKUP(B322,representatives_list!A:B,2,FALSE)</f>
        <v>PurM N-terminal domain-like</v>
      </c>
      <c r="O322" t="str">
        <f>VLOOKUP(aggregated_results!B322,representatives_list!A:E,5,FALSE)</f>
        <v>ABG(+)</v>
      </c>
      <c r="P322" t="str">
        <f>VLOOKUP(aggregated_results!B322,representatives_list!A:D,3,FALSE)</f>
        <v>Pi</v>
      </c>
      <c r="Q322" t="str">
        <f>VLOOKUP(aggregated_results!B322,representatives_list!A:D,4,FALSE)</f>
        <v>d.79.4</v>
      </c>
    </row>
    <row r="323" spans="1:17" x14ac:dyDescent="0.25">
      <c r="A323" t="s">
        <v>18</v>
      </c>
      <c r="B323" t="s">
        <v>41</v>
      </c>
      <c r="C323">
        <v>2.6</v>
      </c>
      <c r="D323">
        <v>4.0999999999999996</v>
      </c>
      <c r="E323">
        <v>70</v>
      </c>
      <c r="F323">
        <v>192</v>
      </c>
      <c r="G323">
        <v>9</v>
      </c>
      <c r="I323" t="str">
        <f t="shared" ref="I323:I386" si="5">IF(_xlfn.TEXTBEFORE(J323,".",2,0,1)=_xlfn.TEXTBEFORE(Q323,".",2,0,1),"x","")</f>
        <v/>
      </c>
      <c r="J323" t="str">
        <f>VLOOKUP(aggregated_results!A323,representatives_list!A:D,4,FALSE)</f>
        <v>d.58.29</v>
      </c>
      <c r="K323" t="str">
        <f>VLOOKUP(aggregated_results!A323,representatives_list!A:D,3,FALSE)</f>
        <v>PPi</v>
      </c>
      <c r="L323" t="str">
        <f>VLOOKUP(aggregated_results!A323,representatives_list!A:E,5,FALSE)</f>
        <v>ABG(–)</v>
      </c>
      <c r="M323" t="str">
        <f>VLOOKUP(A323,representatives_list!A:B,2,FALSE)</f>
        <v>Nucleotide cyclase</v>
      </c>
      <c r="N323" t="str">
        <f>VLOOKUP(B323,representatives_list!A:B,2,FALSE)</f>
        <v>Molybdenum cofactor biosynthesis proteins</v>
      </c>
      <c r="O323" t="str">
        <f>VLOOKUP(aggregated_results!B323,representatives_list!A:E,5,FALSE)</f>
        <v>ABG(–)</v>
      </c>
      <c r="P323" t="str">
        <f>VLOOKUP(aggregated_results!B323,representatives_list!A:D,3,FALSE)</f>
        <v>Pi</v>
      </c>
      <c r="Q323" t="str">
        <f>VLOOKUP(aggregated_results!B323,representatives_list!A:D,4,FALSE)</f>
        <v>c.57.1</v>
      </c>
    </row>
    <row r="324" spans="1:17" x14ac:dyDescent="0.25">
      <c r="A324" t="s">
        <v>80</v>
      </c>
      <c r="B324" t="s">
        <v>24</v>
      </c>
      <c r="C324">
        <v>2.6</v>
      </c>
      <c r="D324">
        <v>4.0999999999999996</v>
      </c>
      <c r="E324">
        <v>122</v>
      </c>
      <c r="F324">
        <v>218</v>
      </c>
      <c r="G324">
        <v>9</v>
      </c>
      <c r="I324" t="str">
        <f t="shared" si="5"/>
        <v/>
      </c>
      <c r="J324" t="str">
        <f>VLOOKUP(aggregated_results!A324,representatives_list!A:D,4,FALSE)</f>
        <v>c.124.1</v>
      </c>
      <c r="K324" t="str">
        <f>VLOOKUP(aggregated_results!A324,representatives_list!A:D,3,FALSE)</f>
        <v>Pi</v>
      </c>
      <c r="L324" t="str">
        <f>VLOOKUP(aggregated_results!A324,representatives_list!A:E,5,FALSE)</f>
        <v>N/A</v>
      </c>
      <c r="M324" t="str">
        <f>VLOOKUP(A324,representatives_list!A:B,2,FALSE)</f>
        <v>NagB/RpiA/CoA transferase-like</v>
      </c>
      <c r="N324" t="str">
        <f>VLOOKUP(B324,representatives_list!A:B,2,FALSE)</f>
        <v>Ribokinase-like</v>
      </c>
      <c r="O324" t="str">
        <f>VLOOKUP(aggregated_results!B324,representatives_list!A:E,5,FALSE)</f>
        <v>BG(–)</v>
      </c>
      <c r="P324" t="str">
        <f>VLOOKUP(aggregated_results!B324,representatives_list!A:D,3,FALSE)</f>
        <v>Pi</v>
      </c>
      <c r="Q324" t="str">
        <f>VLOOKUP(aggregated_results!B324,representatives_list!A:D,4,FALSE)</f>
        <v>c.72.1</v>
      </c>
    </row>
    <row r="325" spans="1:17" x14ac:dyDescent="0.25">
      <c r="A325" t="s">
        <v>78</v>
      </c>
      <c r="B325" t="s">
        <v>86</v>
      </c>
      <c r="C325">
        <v>2.6</v>
      </c>
      <c r="D325">
        <v>4.7</v>
      </c>
      <c r="E325">
        <v>93</v>
      </c>
      <c r="F325">
        <v>1094</v>
      </c>
      <c r="G325">
        <v>9</v>
      </c>
      <c r="I325" t="str">
        <f t="shared" si="5"/>
        <v/>
      </c>
      <c r="J325" t="str">
        <f>VLOOKUP(aggregated_results!A325,representatives_list!A:D,4,FALSE)</f>
        <v>e.29.1</v>
      </c>
      <c r="K325" t="str">
        <f>VLOOKUP(aggregated_results!A325,representatives_list!A:D,3,FALSE)</f>
        <v>PPi</v>
      </c>
      <c r="L325" t="str">
        <f>VLOOKUP(aggregated_results!A325,representatives_list!A:E,5,FALSE)</f>
        <v>AB(+)</v>
      </c>
      <c r="M325" t="str">
        <f>VLOOKUP(A325,representatives_list!A:B,2,FALSE)</f>
        <v>beta and beta-prime subunits of DNA dependent RNA-polymerase</v>
      </c>
      <c r="N325" t="str">
        <f>VLOOKUP(B325,representatives_list!A:B,2,FALSE)</f>
        <v>FomD-like</v>
      </c>
      <c r="O325" t="str">
        <f>VLOOKUP(aggregated_results!B325,representatives_list!A:E,5,FALSE)</f>
        <v>B</v>
      </c>
      <c r="P325" t="str">
        <f>VLOOKUP(aggregated_results!B325,representatives_list!A:D,3,FALSE)</f>
        <v>Pi</v>
      </c>
      <c r="Q325" t="str">
        <f>VLOOKUP(aggregated_results!B325,representatives_list!A:D,4,FALSE)</f>
        <v>b.175.1</v>
      </c>
    </row>
    <row r="326" spans="1:17" x14ac:dyDescent="0.25">
      <c r="A326" t="s">
        <v>22</v>
      </c>
      <c r="B326" t="s">
        <v>37</v>
      </c>
      <c r="C326">
        <v>2.6</v>
      </c>
      <c r="D326">
        <v>6</v>
      </c>
      <c r="E326">
        <v>106</v>
      </c>
      <c r="F326">
        <v>368</v>
      </c>
      <c r="G326">
        <v>9</v>
      </c>
      <c r="I326" t="str">
        <f t="shared" si="5"/>
        <v/>
      </c>
      <c r="J326" t="str">
        <f>VLOOKUP(aggregated_results!A326,representatives_list!A:D,4,FALSE)</f>
        <v>c.55.1</v>
      </c>
      <c r="K326" t="str">
        <f>VLOOKUP(aggregated_results!A326,representatives_list!A:D,3,FALSE)</f>
        <v>Pi</v>
      </c>
      <c r="L326" t="str">
        <f>VLOOKUP(aggregated_results!A326,representatives_list!A:E,5,FALSE)</f>
        <v>BG(+)</v>
      </c>
      <c r="M326" t="str">
        <f>VLOOKUP(A326,representatives_list!A:B,2,FALSE)</f>
        <v>Actin-like ATPase domain</v>
      </c>
      <c r="N326" t="str">
        <f>VLOOKUP(B326,representatives_list!A:B,2,FALSE)</f>
        <v>Phosphofructokinase</v>
      </c>
      <c r="O326" t="str">
        <f>VLOOKUP(aggregated_results!B326,representatives_list!A:E,5,FALSE)</f>
        <v>ABG(–)</v>
      </c>
      <c r="P326" t="str">
        <f>VLOOKUP(aggregated_results!B326,representatives_list!A:D,3,FALSE)</f>
        <v>Pi</v>
      </c>
      <c r="Q326" t="str">
        <f>VLOOKUP(aggregated_results!B326,representatives_list!A:D,4,FALSE)</f>
        <v>c.89.1</v>
      </c>
    </row>
    <row r="327" spans="1:17" x14ac:dyDescent="0.25">
      <c r="A327" t="s">
        <v>29</v>
      </c>
      <c r="B327" t="s">
        <v>64</v>
      </c>
      <c r="C327">
        <v>2.5</v>
      </c>
      <c r="D327">
        <v>3.6</v>
      </c>
      <c r="E327">
        <v>103</v>
      </c>
      <c r="F327">
        <v>309</v>
      </c>
      <c r="G327">
        <v>9</v>
      </c>
      <c r="I327" t="str">
        <f t="shared" si="5"/>
        <v/>
      </c>
      <c r="J327" t="str">
        <f>VLOOKUP(aggregated_results!A327,representatives_list!A:D,4,FALSE)</f>
        <v>c.61.1</v>
      </c>
      <c r="K327" t="str">
        <f>VLOOKUP(aggregated_results!A327,representatives_list!A:D,3,FALSE)</f>
        <v>PPi</v>
      </c>
      <c r="L327" t="str">
        <f>VLOOKUP(aggregated_results!A327,representatives_list!A:E,5,FALSE)</f>
        <v>ABG(+)</v>
      </c>
      <c r="M327" t="str">
        <f>VLOOKUP(A327,representatives_list!A:B,2,FALSE)</f>
        <v>PRTase-like</v>
      </c>
      <c r="N327" t="str">
        <f>VLOOKUP(B327,representatives_list!A:B,2,FALSE)</f>
        <v>YgbK-like</v>
      </c>
      <c r="O327" t="str">
        <f>VLOOKUP(aggregated_results!B327,representatives_list!A:E,5,FALSE)</f>
        <v>N/A</v>
      </c>
      <c r="P327" t="str">
        <f>VLOOKUP(aggregated_results!B327,representatives_list!A:D,3,FALSE)</f>
        <v>Pi</v>
      </c>
      <c r="Q327" t="str">
        <f>VLOOKUP(aggregated_results!B327,representatives_list!A:D,4,FALSE)</f>
        <v>c.146.1</v>
      </c>
    </row>
    <row r="328" spans="1:17" x14ac:dyDescent="0.25">
      <c r="A328" t="s">
        <v>34</v>
      </c>
      <c r="B328" t="s">
        <v>83</v>
      </c>
      <c r="C328">
        <v>2.5</v>
      </c>
      <c r="D328">
        <v>3.2</v>
      </c>
      <c r="E328">
        <v>67</v>
      </c>
      <c r="F328">
        <v>426</v>
      </c>
      <c r="G328">
        <v>10</v>
      </c>
      <c r="I328" t="str">
        <f t="shared" si="5"/>
        <v/>
      </c>
      <c r="J328" t="str">
        <f>VLOOKUP(aggregated_results!A328,representatives_list!A:D,4,FALSE)</f>
        <v>c.32.1</v>
      </c>
      <c r="K328" t="str">
        <f>VLOOKUP(aggregated_results!A328,representatives_list!A:D,3,FALSE)</f>
        <v>Pi</v>
      </c>
      <c r="L328" t="str">
        <f>VLOOKUP(aggregated_results!A328,representatives_list!A:E,5,FALSE)</f>
        <v>BG(–)</v>
      </c>
      <c r="M328" t="str">
        <f>VLOOKUP(A328,representatives_list!A:B,2,FALSE)</f>
        <v>Tubulin nucleotide-binding domain-like</v>
      </c>
      <c r="N328" t="str">
        <f>VLOOKUP(B328,representatives_list!A:B,2,FALSE)</f>
        <v>CofE-like</v>
      </c>
      <c r="O328" t="str">
        <f>VLOOKUP(aggregated_results!B328,representatives_list!A:E,5,FALSE)</f>
        <v>ABG(+)</v>
      </c>
      <c r="P328" t="str">
        <f>VLOOKUP(aggregated_results!B328,representatives_list!A:D,3,FALSE)</f>
        <v>Pi</v>
      </c>
      <c r="Q328" t="str">
        <f>VLOOKUP(aggregated_results!B328,representatives_list!A:D,4,FALSE)</f>
        <v>d.340.1</v>
      </c>
    </row>
    <row r="329" spans="1:17" x14ac:dyDescent="0.25">
      <c r="A329" t="s">
        <v>34</v>
      </c>
      <c r="B329" t="s">
        <v>41</v>
      </c>
      <c r="C329">
        <v>2.5</v>
      </c>
      <c r="D329">
        <v>6.3</v>
      </c>
      <c r="E329">
        <v>121</v>
      </c>
      <c r="F329">
        <v>426</v>
      </c>
      <c r="G329">
        <v>6</v>
      </c>
      <c r="I329" t="str">
        <f t="shared" si="5"/>
        <v/>
      </c>
      <c r="J329" t="str">
        <f>VLOOKUP(aggregated_results!A329,representatives_list!A:D,4,FALSE)</f>
        <v>c.32.1</v>
      </c>
      <c r="K329" t="str">
        <f>VLOOKUP(aggregated_results!A329,representatives_list!A:D,3,FALSE)</f>
        <v>Pi</v>
      </c>
      <c r="L329" t="str">
        <f>VLOOKUP(aggregated_results!A329,representatives_list!A:E,5,FALSE)</f>
        <v>BG(–)</v>
      </c>
      <c r="M329" t="str">
        <f>VLOOKUP(A329,representatives_list!A:B,2,FALSE)</f>
        <v>Tubulin nucleotide-binding domain-like</v>
      </c>
      <c r="N329" t="str">
        <f>VLOOKUP(B329,representatives_list!A:B,2,FALSE)</f>
        <v>Molybdenum cofactor biosynthesis proteins</v>
      </c>
      <c r="O329" t="str">
        <f>VLOOKUP(aggregated_results!B329,representatives_list!A:E,5,FALSE)</f>
        <v>ABG(–)</v>
      </c>
      <c r="P329" t="str">
        <f>VLOOKUP(aggregated_results!B329,representatives_list!A:D,3,FALSE)</f>
        <v>Pi</v>
      </c>
      <c r="Q329" t="str">
        <f>VLOOKUP(aggregated_results!B329,representatives_list!A:D,4,FALSE)</f>
        <v>c.57.1</v>
      </c>
    </row>
    <row r="330" spans="1:17" x14ac:dyDescent="0.25">
      <c r="A330" t="s">
        <v>49</v>
      </c>
      <c r="B330" t="s">
        <v>59</v>
      </c>
      <c r="C330">
        <v>2.5</v>
      </c>
      <c r="D330">
        <v>3.1</v>
      </c>
      <c r="E330">
        <v>73</v>
      </c>
      <c r="F330">
        <v>745</v>
      </c>
      <c r="G330">
        <v>8</v>
      </c>
      <c r="I330" t="e">
        <f t="shared" si="5"/>
        <v>#N/A</v>
      </c>
      <c r="J330" t="str">
        <f>VLOOKUP(aggregated_results!A330,representatives_list!A:D,4,FALSE)</f>
        <v>N/A</v>
      </c>
      <c r="K330" t="str">
        <f>VLOOKUP(aggregated_results!A330,representatives_list!A:D,3,FALSE)</f>
        <v>PPi</v>
      </c>
      <c r="L330" t="str">
        <f>VLOOKUP(aggregated_results!A330,representatives_list!A:E,5,FALSE)</f>
        <v>ABG(–)</v>
      </c>
      <c r="M330" t="str">
        <f>VLOOKUP(A330,representatives_list!A:B,2,FALSE)</f>
        <v>Influenza RNA-dependent RNA polymerase subunit PB1</v>
      </c>
      <c r="N330" t="str">
        <f>VLOOKUP(B330,representatives_list!A:B,2,FALSE)</f>
        <v>CYTH-like phosphatases</v>
      </c>
      <c r="O330" t="str">
        <f>VLOOKUP(aggregated_results!B330,representatives_list!A:E,5,FALSE)</f>
        <v>ABG(+)</v>
      </c>
      <c r="P330" t="str">
        <f>VLOOKUP(aggregated_results!B330,representatives_list!A:D,3,FALSE)</f>
        <v>Pi</v>
      </c>
      <c r="Q330" t="str">
        <f>VLOOKUP(aggregated_results!B330,representatives_list!A:D,4,FALSE)</f>
        <v>d.63.1</v>
      </c>
    </row>
    <row r="331" spans="1:17" x14ac:dyDescent="0.25">
      <c r="A331" t="s">
        <v>68</v>
      </c>
      <c r="B331" t="s">
        <v>77</v>
      </c>
      <c r="C331">
        <v>2.5</v>
      </c>
      <c r="D331">
        <v>4.8</v>
      </c>
      <c r="E331">
        <v>47</v>
      </c>
      <c r="F331">
        <v>110</v>
      </c>
      <c r="G331">
        <v>9</v>
      </c>
      <c r="I331" t="str">
        <f t="shared" si="5"/>
        <v/>
      </c>
      <c r="J331" t="str">
        <f>VLOOKUP(aggregated_results!A331,representatives_list!A:D,4,FALSE)</f>
        <v>a.204.1</v>
      </c>
      <c r="K331" t="str">
        <f>VLOOKUP(aggregated_results!A331,representatives_list!A:D,3,FALSE)</f>
        <v>PPi</v>
      </c>
      <c r="L331" t="str">
        <f>VLOOKUP(aggregated_results!A331,representatives_list!A:E,5,FALSE)</f>
        <v>ABG(+)</v>
      </c>
      <c r="M331" t="str">
        <f>VLOOKUP(A331,representatives_list!A:B,2,FALSE)</f>
        <v>all-alpha NTP pyrophosphatases</v>
      </c>
      <c r="N331" t="str">
        <f>VLOOKUP(B331,representatives_list!A:B,2,FALSE)</f>
        <v>Nucleotidyltransferase</v>
      </c>
      <c r="O331" t="str">
        <f>VLOOKUP(aggregated_results!B331,representatives_list!A:E,5,FALSE)</f>
        <v>ABG(–)</v>
      </c>
      <c r="P331" t="str">
        <f>VLOOKUP(aggregated_results!B331,representatives_list!A:D,3,FALSE)</f>
        <v>PPi</v>
      </c>
      <c r="Q331" t="str">
        <f>VLOOKUP(aggregated_results!B331,representatives_list!A:D,4,FALSE)</f>
        <v>d.218.1</v>
      </c>
    </row>
    <row r="332" spans="1:17" x14ac:dyDescent="0.25">
      <c r="A332" t="s">
        <v>68</v>
      </c>
      <c r="B332" t="s">
        <v>45</v>
      </c>
      <c r="C332">
        <v>2.5</v>
      </c>
      <c r="D332">
        <v>4.5999999999999996</v>
      </c>
      <c r="E332">
        <v>71</v>
      </c>
      <c r="F332">
        <v>110</v>
      </c>
      <c r="G332">
        <v>13</v>
      </c>
      <c r="I332" t="str">
        <f t="shared" si="5"/>
        <v/>
      </c>
      <c r="J332" t="str">
        <f>VLOOKUP(aggregated_results!A332,representatives_list!A:D,4,FALSE)</f>
        <v>a.204.1</v>
      </c>
      <c r="K332" t="str">
        <f>VLOOKUP(aggregated_results!A332,representatives_list!A:D,3,FALSE)</f>
        <v>PPi</v>
      </c>
      <c r="L332" t="str">
        <f>VLOOKUP(aggregated_results!A332,representatives_list!A:E,5,FALSE)</f>
        <v>ABG(+)</v>
      </c>
      <c r="M332" t="str">
        <f>VLOOKUP(A332,representatives_list!A:B,2,FALSE)</f>
        <v>all-alpha NTP pyrophosphatases</v>
      </c>
      <c r="N332" t="str">
        <f>VLOOKUP(B332,representatives_list!A:B,2,FALSE)</f>
        <v>SAICAR synthase-like</v>
      </c>
      <c r="O332" t="str">
        <f>VLOOKUP(aggregated_results!B332,representatives_list!A:E,5,FALSE)</f>
        <v>BG(–)</v>
      </c>
      <c r="P332" t="str">
        <f>VLOOKUP(aggregated_results!B332,representatives_list!A:D,3,FALSE)</f>
        <v>Pi</v>
      </c>
      <c r="Q332" t="str">
        <f>VLOOKUP(aggregated_results!B332,representatives_list!A:D,4,FALSE)</f>
        <v>d.143.1</v>
      </c>
    </row>
    <row r="333" spans="1:17" x14ac:dyDescent="0.25">
      <c r="A333" t="s">
        <v>65</v>
      </c>
      <c r="B333" t="s">
        <v>48</v>
      </c>
      <c r="C333">
        <v>2.5</v>
      </c>
      <c r="D333">
        <v>5.8</v>
      </c>
      <c r="E333">
        <v>104</v>
      </c>
      <c r="F333">
        <v>178</v>
      </c>
      <c r="G333">
        <v>11</v>
      </c>
      <c r="I333" t="str">
        <f t="shared" si="5"/>
        <v/>
      </c>
      <c r="J333" t="str">
        <f>VLOOKUP(aggregated_results!A333,representatives_list!A:D,4,FALSE)</f>
        <v>a.25.2</v>
      </c>
      <c r="K333" t="str">
        <f>VLOOKUP(aggregated_results!A333,representatives_list!A:D,3,FALSE)</f>
        <v>PPPi</v>
      </c>
      <c r="L333" t="str">
        <f>VLOOKUP(aggregated_results!A333,representatives_list!A:E,5,FALSE)</f>
        <v>ABG(+)</v>
      </c>
      <c r="M333" t="str">
        <f>VLOOKUP(A333,representatives_list!A:B,2,FALSE)</f>
        <v>Cobalamin adenosyltransferase-like</v>
      </c>
      <c r="N333" t="str">
        <f>VLOOKUP(B333,representatives_list!A:B,2,FALSE)</f>
        <v>Metal cation-transporting ATPase, ATP-binding domain N</v>
      </c>
      <c r="O333" t="str">
        <f>VLOOKUP(aggregated_results!B333,representatives_list!A:E,5,FALSE)</f>
        <v>BG(–)</v>
      </c>
      <c r="P333" t="str">
        <f>VLOOKUP(aggregated_results!B333,representatives_list!A:D,3,FALSE)</f>
        <v>Pi</v>
      </c>
      <c r="Q333" t="str">
        <f>VLOOKUP(aggregated_results!B333,representatives_list!A:D,4,FALSE)</f>
        <v>d.220.1</v>
      </c>
    </row>
    <row r="334" spans="1:17" x14ac:dyDescent="0.25">
      <c r="A334" t="s">
        <v>23</v>
      </c>
      <c r="B334" t="s">
        <v>56</v>
      </c>
      <c r="C334">
        <v>2.5</v>
      </c>
      <c r="D334">
        <v>3.2</v>
      </c>
      <c r="E334">
        <v>61</v>
      </c>
      <c r="F334">
        <v>307</v>
      </c>
      <c r="G334">
        <v>10</v>
      </c>
      <c r="I334" t="str">
        <f t="shared" si="5"/>
        <v/>
      </c>
      <c r="J334" t="str">
        <f>VLOOKUP(aggregated_results!A334,representatives_list!A:D,4,FALSE)</f>
        <v>c.72.2</v>
      </c>
      <c r="K334" t="str">
        <f>VLOOKUP(aggregated_results!A334,representatives_list!A:D,3,FALSE)</f>
        <v>Pi</v>
      </c>
      <c r="L334" t="str">
        <f>VLOOKUP(aggregated_results!A334,representatives_list!A:E,5,FALSE)</f>
        <v>BG(–)</v>
      </c>
      <c r="M334" t="str">
        <f>VLOOKUP(A334,representatives_list!A:B,2,FALSE)</f>
        <v>MurD-like peptide ligases, catalytic domain</v>
      </c>
      <c r="N334" t="str">
        <f>VLOOKUP(B334,representatives_list!A:B,2,FALSE)</f>
        <v>GroEL equatorial domain-like</v>
      </c>
      <c r="O334" t="str">
        <f>VLOOKUP(aggregated_results!B334,representatives_list!A:E,5,FALSE)</f>
        <v>ABG(+)</v>
      </c>
      <c r="P334" t="str">
        <f>VLOOKUP(aggregated_results!B334,representatives_list!A:D,3,FALSE)</f>
        <v>Pi</v>
      </c>
      <c r="Q334" t="str">
        <f>VLOOKUP(aggregated_results!B334,representatives_list!A:D,4,FALSE)</f>
        <v>a.129.1</v>
      </c>
    </row>
    <row r="335" spans="1:17" x14ac:dyDescent="0.25">
      <c r="A335" t="s">
        <v>23</v>
      </c>
      <c r="B335" t="s">
        <v>37</v>
      </c>
      <c r="C335">
        <v>2.5</v>
      </c>
      <c r="D335">
        <v>4.8</v>
      </c>
      <c r="E335">
        <v>99</v>
      </c>
      <c r="F335">
        <v>307</v>
      </c>
      <c r="G335">
        <v>11</v>
      </c>
      <c r="I335" t="str">
        <f t="shared" si="5"/>
        <v/>
      </c>
      <c r="J335" t="str">
        <f>VLOOKUP(aggregated_results!A335,representatives_list!A:D,4,FALSE)</f>
        <v>c.72.2</v>
      </c>
      <c r="K335" t="str">
        <f>VLOOKUP(aggregated_results!A335,representatives_list!A:D,3,FALSE)</f>
        <v>Pi</v>
      </c>
      <c r="L335" t="str">
        <f>VLOOKUP(aggregated_results!A335,representatives_list!A:E,5,FALSE)</f>
        <v>BG(–)</v>
      </c>
      <c r="M335" t="str">
        <f>VLOOKUP(A335,representatives_list!A:B,2,FALSE)</f>
        <v>MurD-like peptide ligases, catalytic domain</v>
      </c>
      <c r="N335" t="str">
        <f>VLOOKUP(B335,representatives_list!A:B,2,FALSE)</f>
        <v>Phosphofructokinase</v>
      </c>
      <c r="O335" t="str">
        <f>VLOOKUP(aggregated_results!B335,representatives_list!A:E,5,FALSE)</f>
        <v>ABG(–)</v>
      </c>
      <c r="P335" t="str">
        <f>VLOOKUP(aggregated_results!B335,representatives_list!A:D,3,FALSE)</f>
        <v>Pi</v>
      </c>
      <c r="Q335" t="str">
        <f>VLOOKUP(aggregated_results!B335,representatives_list!A:D,4,FALSE)</f>
        <v>c.89.1</v>
      </c>
    </row>
    <row r="336" spans="1:17" x14ac:dyDescent="0.25">
      <c r="A336" t="s">
        <v>63</v>
      </c>
      <c r="B336" t="s">
        <v>30</v>
      </c>
      <c r="C336">
        <v>2.5</v>
      </c>
      <c r="D336">
        <v>4.5</v>
      </c>
      <c r="E336">
        <v>86</v>
      </c>
      <c r="F336">
        <v>213</v>
      </c>
      <c r="G336">
        <v>7</v>
      </c>
      <c r="I336" t="str">
        <f t="shared" si="5"/>
        <v/>
      </c>
      <c r="J336" t="str">
        <f>VLOOKUP(aggregated_results!A336,representatives_list!A:D,4,FALSE)</f>
        <v>d.78.1</v>
      </c>
      <c r="K336" t="str">
        <f>VLOOKUP(aggregated_results!A336,representatives_list!A:D,3,FALSE)</f>
        <v>PPi</v>
      </c>
      <c r="L336" t="str">
        <f>VLOOKUP(aggregated_results!A336,representatives_list!A:E,5,FALSE)</f>
        <v>N/A</v>
      </c>
      <c r="M336" t="str">
        <f>VLOOKUP(A336,representatives_list!A:B,2,FALSE)</f>
        <v>RPB5-like RNA polymerase subunit</v>
      </c>
      <c r="N336" t="str">
        <f>VLOOKUP(B336,representatives_list!A:B,2,FALSE)</f>
        <v>Glycerate kinase I</v>
      </c>
      <c r="O336" t="str">
        <f>VLOOKUP(aggregated_results!B336,representatives_list!A:E,5,FALSE)</f>
        <v>N/A</v>
      </c>
      <c r="P336" t="str">
        <f>VLOOKUP(aggregated_results!B336,representatives_list!A:D,3,FALSE)</f>
        <v>Pi</v>
      </c>
      <c r="Q336" t="str">
        <f>VLOOKUP(aggregated_results!B336,representatives_list!A:D,4,FALSE)</f>
        <v>c.141.1</v>
      </c>
    </row>
    <row r="337" spans="1:17" x14ac:dyDescent="0.25">
      <c r="A337" t="s">
        <v>33</v>
      </c>
      <c r="B337" t="s">
        <v>77</v>
      </c>
      <c r="C337">
        <v>2.5</v>
      </c>
      <c r="D337">
        <v>13.3</v>
      </c>
      <c r="E337">
        <v>94</v>
      </c>
      <c r="F337">
        <v>530</v>
      </c>
      <c r="G337">
        <v>9</v>
      </c>
      <c r="I337" t="str">
        <f t="shared" si="5"/>
        <v/>
      </c>
      <c r="J337" t="str">
        <f>VLOOKUP(aggregated_results!A337,representatives_list!A:D,4,FALSE)</f>
        <v>e.23.1</v>
      </c>
      <c r="K337" t="str">
        <f>VLOOKUP(aggregated_results!A337,representatives_list!A:D,3,FALSE)</f>
        <v>PPi</v>
      </c>
      <c r="L337" t="str">
        <f>VLOOKUP(aggregated_results!A337,representatives_list!A:E,5,FALSE)</f>
        <v>BG(+)</v>
      </c>
      <c r="M337" t="str">
        <f>VLOOKUP(A337,representatives_list!A:B,2,FALSE)</f>
        <v>Acetyl-CoA synthetase-like</v>
      </c>
      <c r="N337" t="str">
        <f>VLOOKUP(B337,representatives_list!A:B,2,FALSE)</f>
        <v>Nucleotidyltransferase</v>
      </c>
      <c r="O337" t="str">
        <f>VLOOKUP(aggregated_results!B337,representatives_list!A:E,5,FALSE)</f>
        <v>ABG(–)</v>
      </c>
      <c r="P337" t="str">
        <f>VLOOKUP(aggregated_results!B337,representatives_list!A:D,3,FALSE)</f>
        <v>PPi</v>
      </c>
      <c r="Q337" t="str">
        <f>VLOOKUP(aggregated_results!B337,representatives_list!A:D,4,FALSE)</f>
        <v>d.218.1</v>
      </c>
    </row>
    <row r="338" spans="1:17" x14ac:dyDescent="0.25">
      <c r="A338" t="s">
        <v>38</v>
      </c>
      <c r="B338" t="s">
        <v>55</v>
      </c>
      <c r="C338">
        <v>2.5</v>
      </c>
      <c r="D338">
        <v>8.6999999999999993</v>
      </c>
      <c r="E338">
        <v>88</v>
      </c>
      <c r="F338">
        <v>349</v>
      </c>
      <c r="G338">
        <v>10</v>
      </c>
      <c r="I338" t="str">
        <f t="shared" si="5"/>
        <v/>
      </c>
      <c r="J338" t="str">
        <f>VLOOKUP(aggregated_results!A338,representatives_list!A:D,4,FALSE)</f>
        <v>d.320.1</v>
      </c>
      <c r="K338" t="str">
        <f>VLOOKUP(aggregated_results!A338,representatives_list!A:D,3,FALSE)</f>
        <v>PPi</v>
      </c>
      <c r="L338" t="str">
        <f>VLOOKUP(aggregated_results!A338,representatives_list!A:E,5,FALSE)</f>
        <v>ABG(–)</v>
      </c>
      <c r="M338" t="str">
        <f>VLOOKUP(A338,representatives_list!A:B,2,FALSE)</f>
        <v>YojJ-like</v>
      </c>
      <c r="N338" t="str">
        <f>VLOOKUP(B338,representatives_list!A:B,2,FALSE)</f>
        <v>DNA primase core</v>
      </c>
      <c r="O338" t="str">
        <f>VLOOKUP(aggregated_results!B338,representatives_list!A:E,5,FALSE)</f>
        <v>AB(–)</v>
      </c>
      <c r="P338" t="str">
        <f>VLOOKUP(aggregated_results!B338,representatives_list!A:D,3,FALSE)</f>
        <v>PPi</v>
      </c>
      <c r="Q338" t="str">
        <f>VLOOKUP(aggregated_results!B338,representatives_list!A:D,4,FALSE)</f>
        <v>e.13.1</v>
      </c>
    </row>
    <row r="339" spans="1:17" x14ac:dyDescent="0.25">
      <c r="A339" t="s">
        <v>38</v>
      </c>
      <c r="B339" t="s">
        <v>87</v>
      </c>
      <c r="C339">
        <v>2.5</v>
      </c>
      <c r="D339">
        <v>12.6</v>
      </c>
      <c r="E339">
        <v>104</v>
      </c>
      <c r="F339">
        <v>349</v>
      </c>
      <c r="G339">
        <v>10</v>
      </c>
      <c r="I339" t="str">
        <f t="shared" si="5"/>
        <v/>
      </c>
      <c r="J339" t="str">
        <f>VLOOKUP(aggregated_results!A339,representatives_list!A:D,4,FALSE)</f>
        <v>d.320.1</v>
      </c>
      <c r="K339" t="str">
        <f>VLOOKUP(aggregated_results!A339,representatives_list!A:D,3,FALSE)</f>
        <v>PPi</v>
      </c>
      <c r="L339" t="str">
        <f>VLOOKUP(aggregated_results!A339,representatives_list!A:E,5,FALSE)</f>
        <v>ABG(–)</v>
      </c>
      <c r="M339" t="str">
        <f>VLOOKUP(A339,representatives_list!A:B,2,FALSE)</f>
        <v>YojJ-like</v>
      </c>
      <c r="N339" t="str">
        <f>VLOOKUP(B339,representatives_list!A:B,2,FALSE)</f>
        <v>Phospholipase D/nuclease</v>
      </c>
      <c r="O339" t="str">
        <f>VLOOKUP(aggregated_results!B339,representatives_list!A:E,5,FALSE)</f>
        <v>N/A</v>
      </c>
      <c r="P339" t="str">
        <f>VLOOKUP(aggregated_results!B339,representatives_list!A:D,3,FALSE)</f>
        <v>Pi</v>
      </c>
      <c r="Q339" t="str">
        <f>VLOOKUP(aggregated_results!B339,representatives_list!A:D,4,FALSE)</f>
        <v>d.136.1</v>
      </c>
    </row>
    <row r="340" spans="1:17" x14ac:dyDescent="0.25">
      <c r="A340" t="s">
        <v>71</v>
      </c>
      <c r="B340" t="s">
        <v>23</v>
      </c>
      <c r="C340">
        <v>2.5</v>
      </c>
      <c r="D340">
        <v>10.199999999999999</v>
      </c>
      <c r="E340">
        <v>72</v>
      </c>
      <c r="F340">
        <v>336</v>
      </c>
      <c r="G340">
        <v>13</v>
      </c>
      <c r="I340" t="str">
        <f t="shared" si="5"/>
        <v/>
      </c>
      <c r="J340" t="str">
        <f>VLOOKUP(aggregated_results!A340,representatives_list!A:D,4,FALSE)</f>
        <v>d.68.2</v>
      </c>
      <c r="K340" t="str">
        <f>VLOOKUP(aggregated_results!A340,representatives_list!A:D,3,FALSE)</f>
        <v>PPi</v>
      </c>
      <c r="L340" t="str">
        <f>VLOOKUP(aggregated_results!A340,representatives_list!A:E,5,FALSE)</f>
        <v>ABG(–)</v>
      </c>
      <c r="M340" t="str">
        <f>VLOOKUP(A340,representatives_list!A:B,2,FALSE)</f>
        <v>EPT/RTPC-like</v>
      </c>
      <c r="N340" t="str">
        <f>VLOOKUP(B340,representatives_list!A:B,2,FALSE)</f>
        <v>MurD-like peptide ligases, catalytic domain</v>
      </c>
      <c r="O340" t="str">
        <f>VLOOKUP(aggregated_results!B340,representatives_list!A:E,5,FALSE)</f>
        <v>BG(–)</v>
      </c>
      <c r="P340" t="str">
        <f>VLOOKUP(aggregated_results!B340,representatives_list!A:D,3,FALSE)</f>
        <v>Pi</v>
      </c>
      <c r="Q340" t="str">
        <f>VLOOKUP(aggregated_results!B340,representatives_list!A:D,4,FALSE)</f>
        <v>c.72.2</v>
      </c>
    </row>
    <row r="341" spans="1:17" x14ac:dyDescent="0.25">
      <c r="A341" t="s">
        <v>20</v>
      </c>
      <c r="B341" t="s">
        <v>56</v>
      </c>
      <c r="C341">
        <v>2.5</v>
      </c>
      <c r="D341">
        <v>15</v>
      </c>
      <c r="E341">
        <v>102</v>
      </c>
      <c r="F341">
        <v>994</v>
      </c>
      <c r="G341">
        <v>11</v>
      </c>
      <c r="I341" t="e">
        <f t="shared" si="5"/>
        <v>#N/A</v>
      </c>
      <c r="J341" t="str">
        <f>VLOOKUP(aggregated_results!A341,representatives_list!A:D,4,FALSE)</f>
        <v>N/A</v>
      </c>
      <c r="K341" t="str">
        <f>VLOOKUP(aggregated_results!A341,representatives_list!A:D,3,FALSE)</f>
        <v>PPi</v>
      </c>
      <c r="L341" t="str">
        <f>VLOOKUP(aggregated_results!A341,representatives_list!A:E,5,FALSE)</f>
        <v>ABG(–)</v>
      </c>
      <c r="M341" t="str">
        <f>VLOOKUP(A341,representatives_list!A:B,2,FALSE)</f>
        <v>Bacterial DNA polymerase III, alpha subunit, NTPase domain</v>
      </c>
      <c r="N341" t="str">
        <f>VLOOKUP(B341,representatives_list!A:B,2,FALSE)</f>
        <v>GroEL equatorial domain-like</v>
      </c>
      <c r="O341" t="str">
        <f>VLOOKUP(aggregated_results!B341,representatives_list!A:E,5,FALSE)</f>
        <v>ABG(+)</v>
      </c>
      <c r="P341" t="str">
        <f>VLOOKUP(aggregated_results!B341,representatives_list!A:D,3,FALSE)</f>
        <v>Pi</v>
      </c>
      <c r="Q341" t="str">
        <f>VLOOKUP(aggregated_results!B341,representatives_list!A:D,4,FALSE)</f>
        <v>a.129.1</v>
      </c>
    </row>
    <row r="342" spans="1:17" x14ac:dyDescent="0.25">
      <c r="A342" t="s">
        <v>19</v>
      </c>
      <c r="B342" t="s">
        <v>60</v>
      </c>
      <c r="C342">
        <v>2.5</v>
      </c>
      <c r="D342">
        <v>6.1</v>
      </c>
      <c r="E342">
        <v>77</v>
      </c>
      <c r="F342">
        <v>417</v>
      </c>
      <c r="G342">
        <v>5</v>
      </c>
      <c r="I342" t="e">
        <f t="shared" si="5"/>
        <v>#N/A</v>
      </c>
      <c r="J342" t="str">
        <f>VLOOKUP(aggregated_results!A342,representatives_list!A:D,4,FALSE)</f>
        <v>N/A</v>
      </c>
      <c r="K342" t="str">
        <f>VLOOKUP(aggregated_results!A342,representatives_list!A:D,3,FALSE)</f>
        <v>PPi</v>
      </c>
      <c r="L342" t="str">
        <f>VLOOKUP(aggregated_results!A342,representatives_list!A:E,5,FALSE)</f>
        <v>N/A</v>
      </c>
      <c r="M342" t="str">
        <f>VLOOKUP(A342,representatives_list!A:B,2,FALSE)</f>
        <v>tRNA(Ile2) 2-agmatinylcytidine synthetase TiaS</v>
      </c>
      <c r="N342" t="str">
        <f>VLOOKUP(B342,representatives_list!A:B,2,FALSE)</f>
        <v>Virion DNA-directed RNA polymerase domain</v>
      </c>
      <c r="O342" t="str">
        <f>VLOOKUP(aggregated_results!B342,representatives_list!A:E,5,FALSE)</f>
        <v>ABG(+)</v>
      </c>
      <c r="P342" t="str">
        <f>VLOOKUP(aggregated_results!B342,representatives_list!A:D,3,FALSE)</f>
        <v>PPi</v>
      </c>
      <c r="Q342" t="str">
        <f>VLOOKUP(aggregated_results!B342,representatives_list!A:D,4,FALSE)</f>
        <v>N/A</v>
      </c>
    </row>
    <row r="343" spans="1:17" x14ac:dyDescent="0.25">
      <c r="A343" t="s">
        <v>42</v>
      </c>
      <c r="B343" t="s">
        <v>32</v>
      </c>
      <c r="C343">
        <v>2.5</v>
      </c>
      <c r="D343">
        <v>3</v>
      </c>
      <c r="E343">
        <v>61</v>
      </c>
      <c r="F343">
        <v>248</v>
      </c>
      <c r="G343">
        <v>11</v>
      </c>
      <c r="I343" t="str">
        <f t="shared" si="5"/>
        <v/>
      </c>
      <c r="J343" t="str">
        <f>VLOOKUP(aggregated_results!A343,representatives_list!A:D,4,FALSE)</f>
        <v>e.52.1</v>
      </c>
      <c r="K343" t="str">
        <f>VLOOKUP(aggregated_results!A343,representatives_list!A:D,3,FALSE)</f>
        <v>Pi</v>
      </c>
      <c r="L343" t="str">
        <f>VLOOKUP(aggregated_results!A343,representatives_list!A:E,5,FALSE)</f>
        <v>ABG(+)</v>
      </c>
      <c r="M343" t="str">
        <f>VLOOKUP(A343,representatives_list!A:B,2,FALSE)</f>
        <v>NAD kinase/diacylglycerol kinase-like</v>
      </c>
      <c r="N343" t="str">
        <f>VLOOKUP(B343,representatives_list!A:B,2,FALSE)</f>
        <v>Phosphoenolpyruvate/pyruvate domain</v>
      </c>
      <c r="O343" t="str">
        <f>VLOOKUP(aggregated_results!B343,representatives_list!A:E,5,FALSE)</f>
        <v>ABG(–)</v>
      </c>
      <c r="P343" t="str">
        <f>VLOOKUP(aggregated_results!B343,representatives_list!A:D,3,FALSE)</f>
        <v>Pi</v>
      </c>
      <c r="Q343" t="str">
        <f>VLOOKUP(aggregated_results!B343,representatives_list!A:D,4,FALSE)</f>
        <v>c.1.12</v>
      </c>
    </row>
    <row r="344" spans="1:17" x14ac:dyDescent="0.25">
      <c r="A344" t="s">
        <v>80</v>
      </c>
      <c r="B344" t="s">
        <v>35</v>
      </c>
      <c r="C344">
        <v>2.5</v>
      </c>
      <c r="D344">
        <v>4.7</v>
      </c>
      <c r="E344">
        <v>119</v>
      </c>
      <c r="F344">
        <v>218</v>
      </c>
      <c r="G344">
        <v>8</v>
      </c>
      <c r="I344" t="str">
        <f t="shared" si="5"/>
        <v/>
      </c>
      <c r="J344" t="str">
        <f>VLOOKUP(aggregated_results!A344,representatives_list!A:D,4,FALSE)</f>
        <v>c.124.1</v>
      </c>
      <c r="K344" t="str">
        <f>VLOOKUP(aggregated_results!A344,representatives_list!A:D,3,FALSE)</f>
        <v>Pi</v>
      </c>
      <c r="L344" t="str">
        <f>VLOOKUP(aggregated_results!A344,representatives_list!A:E,5,FALSE)</f>
        <v>N/A</v>
      </c>
      <c r="M344" t="str">
        <f>VLOOKUP(A344,representatives_list!A:B,2,FALSE)</f>
        <v>NagB/RpiA/CoA transferase-like</v>
      </c>
      <c r="N344" t="str">
        <f>VLOOKUP(B344,representatives_list!A:B,2,FALSE)</f>
        <v>Phosphoglycerate kinase</v>
      </c>
      <c r="O344" t="str">
        <f>VLOOKUP(aggregated_results!B344,representatives_list!A:E,5,FALSE)</f>
        <v>ABG(–)</v>
      </c>
      <c r="P344" t="str">
        <f>VLOOKUP(aggregated_results!B344,representatives_list!A:D,3,FALSE)</f>
        <v>Pi</v>
      </c>
      <c r="Q344" t="str">
        <f>VLOOKUP(aggregated_results!B344,representatives_list!A:D,4,FALSE)</f>
        <v>c.86.1</v>
      </c>
    </row>
    <row r="345" spans="1:17" x14ac:dyDescent="0.25">
      <c r="A345" t="s">
        <v>30</v>
      </c>
      <c r="B345" t="s">
        <v>54</v>
      </c>
      <c r="C345">
        <v>2.5</v>
      </c>
      <c r="D345">
        <v>3.7</v>
      </c>
      <c r="E345">
        <v>103</v>
      </c>
      <c r="F345">
        <v>371</v>
      </c>
      <c r="G345">
        <v>9</v>
      </c>
      <c r="I345" t="str">
        <f t="shared" si="5"/>
        <v/>
      </c>
      <c r="J345" t="str">
        <f>VLOOKUP(aggregated_results!A345,representatives_list!A:D,4,FALSE)</f>
        <v>c.141.1</v>
      </c>
      <c r="K345" t="str">
        <f>VLOOKUP(aggregated_results!A345,representatives_list!A:D,3,FALSE)</f>
        <v>Pi</v>
      </c>
      <c r="L345" t="str">
        <f>VLOOKUP(aggregated_results!A345,representatives_list!A:E,5,FALSE)</f>
        <v>N/A</v>
      </c>
      <c r="M345" t="str">
        <f>VLOOKUP(A345,representatives_list!A:B,2,FALSE)</f>
        <v>Glycerate kinase I</v>
      </c>
      <c r="N345" t="str">
        <f>VLOOKUP(B345,representatives_list!A:B,2,FALSE)</f>
        <v>Glutathione synthetase ATP-binding domain-like</v>
      </c>
      <c r="O345" t="str">
        <f>VLOOKUP(aggregated_results!B345,representatives_list!A:E,5,FALSE)</f>
        <v>BG(–)</v>
      </c>
      <c r="P345" t="str">
        <f>VLOOKUP(aggregated_results!B345,representatives_list!A:D,3,FALSE)</f>
        <v>Pi</v>
      </c>
      <c r="Q345" t="str">
        <f>VLOOKUP(aggregated_results!B345,representatives_list!A:D,4,FALSE)</f>
        <v>d.142.1</v>
      </c>
    </row>
    <row r="346" spans="1:17" x14ac:dyDescent="0.25">
      <c r="A346" t="s">
        <v>36</v>
      </c>
      <c r="B346" t="s">
        <v>41</v>
      </c>
      <c r="C346">
        <v>2.5</v>
      </c>
      <c r="D346">
        <v>3.5</v>
      </c>
      <c r="E346">
        <v>81</v>
      </c>
      <c r="F346">
        <v>166</v>
      </c>
      <c r="G346">
        <v>12</v>
      </c>
      <c r="I346" t="str">
        <f t="shared" si="5"/>
        <v/>
      </c>
      <c r="J346" t="str">
        <f>VLOOKUP(aggregated_results!A346,representatives_list!A:D,4,FALSE)</f>
        <v>c.37.1</v>
      </c>
      <c r="K346" t="str">
        <f>VLOOKUP(aggregated_results!A346,representatives_list!A:D,3,FALSE)</f>
        <v>Pi</v>
      </c>
      <c r="L346" t="str">
        <f>VLOOKUP(aggregated_results!A346,representatives_list!A:E,5,FALSE)</f>
        <v>BG(–)</v>
      </c>
      <c r="M346" t="str">
        <f>VLOOKUP(A346,representatives_list!A:B,2,FALSE)</f>
        <v>P-loop containing nucleoside triphosphate hydrolases</v>
      </c>
      <c r="N346" t="str">
        <f>VLOOKUP(B346,representatives_list!A:B,2,FALSE)</f>
        <v>Molybdenum cofactor biosynthesis proteins</v>
      </c>
      <c r="O346" t="str">
        <f>VLOOKUP(aggregated_results!B346,representatives_list!A:E,5,FALSE)</f>
        <v>ABG(–)</v>
      </c>
      <c r="P346" t="str">
        <f>VLOOKUP(aggregated_results!B346,representatives_list!A:D,3,FALSE)</f>
        <v>Pi</v>
      </c>
      <c r="Q346" t="str">
        <f>VLOOKUP(aggregated_results!B346,representatives_list!A:D,4,FALSE)</f>
        <v>c.57.1</v>
      </c>
    </row>
    <row r="347" spans="1:17" x14ac:dyDescent="0.25">
      <c r="A347" t="s">
        <v>29</v>
      </c>
      <c r="B347" t="s">
        <v>74</v>
      </c>
      <c r="C347">
        <v>2.4</v>
      </c>
      <c r="D347">
        <v>3.9</v>
      </c>
      <c r="E347">
        <v>95</v>
      </c>
      <c r="F347">
        <v>309</v>
      </c>
      <c r="G347">
        <v>8</v>
      </c>
      <c r="I347" t="str">
        <f t="shared" si="5"/>
        <v/>
      </c>
      <c r="J347" t="str">
        <f>VLOOKUP(aggregated_results!A347,representatives_list!A:D,4,FALSE)</f>
        <v>c.61.1</v>
      </c>
      <c r="K347" t="str">
        <f>VLOOKUP(aggregated_results!A347,representatives_list!A:D,3,FALSE)</f>
        <v>PPi</v>
      </c>
      <c r="L347" t="str">
        <f>VLOOKUP(aggregated_results!A347,representatives_list!A:E,5,FALSE)</f>
        <v>ABG(+)</v>
      </c>
      <c r="M347" t="str">
        <f>VLOOKUP(A347,representatives_list!A:B,2,FALSE)</f>
        <v>PRTase-like</v>
      </c>
      <c r="N347" t="str">
        <f>VLOOKUP(B347,representatives_list!A:B,2,FALSE)</f>
        <v>Nucleotidylyl transferase</v>
      </c>
      <c r="O347" t="str">
        <f>VLOOKUP(aggregated_results!B347,representatives_list!A:E,5,FALSE)</f>
        <v>ABG(–)</v>
      </c>
      <c r="P347" t="str">
        <f>VLOOKUP(aggregated_results!B347,representatives_list!A:D,3,FALSE)</f>
        <v>PPi</v>
      </c>
      <c r="Q347" t="str">
        <f>VLOOKUP(aggregated_results!B347,representatives_list!A:D,4,FALSE)</f>
        <v>c.26.1</v>
      </c>
    </row>
    <row r="348" spans="1:17" x14ac:dyDescent="0.25">
      <c r="A348" t="s">
        <v>27</v>
      </c>
      <c r="B348" t="s">
        <v>25</v>
      </c>
      <c r="C348">
        <v>2.4</v>
      </c>
      <c r="D348">
        <v>4.5</v>
      </c>
      <c r="E348">
        <v>106</v>
      </c>
      <c r="F348">
        <v>304</v>
      </c>
      <c r="G348">
        <v>12</v>
      </c>
      <c r="I348" t="str">
        <f t="shared" si="5"/>
        <v/>
      </c>
      <c r="J348" t="str">
        <f>VLOOKUP(aggregated_results!A348,representatives_list!A:D,4,FALSE)</f>
        <v>c.72.3</v>
      </c>
      <c r="K348" t="str">
        <f>VLOOKUP(aggregated_results!A348,representatives_list!A:D,3,FALSE)</f>
        <v>PPi</v>
      </c>
      <c r="L348" t="str">
        <f>VLOOKUP(aggregated_results!A348,representatives_list!A:E,5,FALSE)</f>
        <v>ABG(–)</v>
      </c>
      <c r="M348" t="str">
        <f>VLOOKUP(A348,representatives_list!A:B,2,FALSE)</f>
        <v>CoaB-like</v>
      </c>
      <c r="N348" t="str">
        <f>VLOOKUP(B348,representatives_list!A:B,2,FALSE)</f>
        <v>Carbamate kinase-like</v>
      </c>
      <c r="O348" t="str">
        <f>VLOOKUP(aggregated_results!B348,representatives_list!A:E,5,FALSE)</f>
        <v>ABG(+)</v>
      </c>
      <c r="P348" t="str">
        <f>VLOOKUP(aggregated_results!B348,representatives_list!A:D,3,FALSE)</f>
        <v>Pi</v>
      </c>
      <c r="Q348" t="str">
        <f>VLOOKUP(aggregated_results!B348,representatives_list!A:D,4,FALSE)</f>
        <v>c.73.1</v>
      </c>
    </row>
    <row r="349" spans="1:17" x14ac:dyDescent="0.25">
      <c r="A349" t="s">
        <v>27</v>
      </c>
      <c r="B349" t="s">
        <v>43</v>
      </c>
      <c r="C349">
        <v>2.4</v>
      </c>
      <c r="D349">
        <v>6.5</v>
      </c>
      <c r="E349">
        <v>102</v>
      </c>
      <c r="F349">
        <v>304</v>
      </c>
      <c r="G349">
        <v>12</v>
      </c>
      <c r="I349" t="str">
        <f t="shared" si="5"/>
        <v/>
      </c>
      <c r="J349" t="str">
        <f>VLOOKUP(aggregated_results!A349,representatives_list!A:D,4,FALSE)</f>
        <v>c.72.3</v>
      </c>
      <c r="K349" t="str">
        <f>VLOOKUP(aggregated_results!A349,representatives_list!A:D,3,FALSE)</f>
        <v>PPi</v>
      </c>
      <c r="L349" t="str">
        <f>VLOOKUP(aggregated_results!A349,representatives_list!A:E,5,FALSE)</f>
        <v>ABG(–)</v>
      </c>
      <c r="M349" t="str">
        <f>VLOOKUP(A349,representatives_list!A:B,2,FALSE)</f>
        <v>CoaB-like</v>
      </c>
      <c r="N349" t="str">
        <f>VLOOKUP(B349,representatives_list!A:B,2,FALSE)</f>
        <v>Nicotinate/Quinolinate PRTase C-terminal domain-like</v>
      </c>
      <c r="O349" t="str">
        <f>VLOOKUP(aggregated_results!B349,representatives_list!A:E,5,FALSE)</f>
        <v>N/A</v>
      </c>
      <c r="P349" t="str">
        <f>VLOOKUP(aggregated_results!B349,representatives_list!A:D,3,FALSE)</f>
        <v>Pi</v>
      </c>
      <c r="Q349" t="str">
        <f>VLOOKUP(aggregated_results!B349,representatives_list!A:D,4,FALSE)</f>
        <v>c.1.17</v>
      </c>
    </row>
    <row r="350" spans="1:17" x14ac:dyDescent="0.25">
      <c r="A350" t="s">
        <v>85</v>
      </c>
      <c r="B350" t="s">
        <v>41</v>
      </c>
      <c r="C350">
        <v>2.4</v>
      </c>
      <c r="D350">
        <v>4.3</v>
      </c>
      <c r="E350">
        <v>88</v>
      </c>
      <c r="F350">
        <v>480</v>
      </c>
      <c r="G350">
        <v>5</v>
      </c>
      <c r="I350" t="str">
        <f t="shared" si="5"/>
        <v/>
      </c>
      <c r="J350" t="str">
        <f>VLOOKUP(aggregated_results!A350,representatives_list!A:D,4,FALSE)</f>
        <v>a.211.1</v>
      </c>
      <c r="K350" t="str">
        <f>VLOOKUP(aggregated_results!A350,representatives_list!A:D,3,FALSE)</f>
        <v>PPPi</v>
      </c>
      <c r="L350" t="str">
        <f>VLOOKUP(aggregated_results!A350,representatives_list!A:E,5,FALSE)</f>
        <v>BG(+)</v>
      </c>
      <c r="M350" t="str">
        <f>VLOOKUP(A350,representatives_list!A:B,2,FALSE)</f>
        <v>HD-domain/PDEase-like</v>
      </c>
      <c r="N350" t="str">
        <f>VLOOKUP(B350,representatives_list!A:B,2,FALSE)</f>
        <v>Molybdenum cofactor biosynthesis proteins</v>
      </c>
      <c r="O350" t="str">
        <f>VLOOKUP(aggregated_results!B350,representatives_list!A:E,5,FALSE)</f>
        <v>ABG(–)</v>
      </c>
      <c r="P350" t="str">
        <f>VLOOKUP(aggregated_results!B350,representatives_list!A:D,3,FALSE)</f>
        <v>Pi</v>
      </c>
      <c r="Q350" t="str">
        <f>VLOOKUP(aggregated_results!B350,representatives_list!A:D,4,FALSE)</f>
        <v>c.57.1</v>
      </c>
    </row>
    <row r="351" spans="1:17" x14ac:dyDescent="0.25">
      <c r="A351" t="s">
        <v>88</v>
      </c>
      <c r="B351" t="s">
        <v>42</v>
      </c>
      <c r="C351">
        <v>2.4</v>
      </c>
      <c r="D351">
        <v>4.0999999999999996</v>
      </c>
      <c r="E351">
        <v>57</v>
      </c>
      <c r="F351">
        <v>666</v>
      </c>
      <c r="G351">
        <v>11</v>
      </c>
      <c r="I351" t="str">
        <f t="shared" si="5"/>
        <v/>
      </c>
      <c r="J351" t="str">
        <f>VLOOKUP(aggregated_results!A351,representatives_list!A:D,4,FALSE)</f>
        <v>b.1.5</v>
      </c>
      <c r="K351" t="str">
        <f>VLOOKUP(aggregated_results!A351,representatives_list!A:D,3,FALSE)</f>
        <v>Pi</v>
      </c>
      <c r="L351" t="str">
        <f>VLOOKUP(aggregated_results!A351,representatives_list!A:E,5,FALSE)</f>
        <v>N/A</v>
      </c>
      <c r="M351" t="str">
        <f>VLOOKUP(A351,representatives_list!A:B,2,FALSE)</f>
        <v>Transglutaminase, two C-terminal domains</v>
      </c>
      <c r="N351" t="str">
        <f>VLOOKUP(B351,representatives_list!A:B,2,FALSE)</f>
        <v>NAD kinase/diacylglycerol kinase-like</v>
      </c>
      <c r="O351" t="str">
        <f>VLOOKUP(aggregated_results!B351,representatives_list!A:E,5,FALSE)</f>
        <v>ABG(+)</v>
      </c>
      <c r="P351" t="str">
        <f>VLOOKUP(aggregated_results!B351,representatives_list!A:D,3,FALSE)</f>
        <v>Pi</v>
      </c>
      <c r="Q351" t="str">
        <f>VLOOKUP(aggregated_results!B351,representatives_list!A:D,4,FALSE)</f>
        <v>e.52.1</v>
      </c>
    </row>
    <row r="352" spans="1:17" x14ac:dyDescent="0.25">
      <c r="A352" t="s">
        <v>54</v>
      </c>
      <c r="B352" t="s">
        <v>35</v>
      </c>
      <c r="C352">
        <v>2.4</v>
      </c>
      <c r="D352">
        <v>3.7</v>
      </c>
      <c r="E352">
        <v>91</v>
      </c>
      <c r="F352">
        <v>317</v>
      </c>
      <c r="G352">
        <v>4</v>
      </c>
      <c r="I352" t="str">
        <f t="shared" si="5"/>
        <v/>
      </c>
      <c r="J352" t="str">
        <f>VLOOKUP(aggregated_results!A352,representatives_list!A:D,4,FALSE)</f>
        <v>d.142.1</v>
      </c>
      <c r="K352" t="str">
        <f>VLOOKUP(aggregated_results!A352,representatives_list!A:D,3,FALSE)</f>
        <v>Pi</v>
      </c>
      <c r="L352" t="str">
        <f>VLOOKUP(aggregated_results!A352,representatives_list!A:E,5,FALSE)</f>
        <v>BG(–)</v>
      </c>
      <c r="M352" t="str">
        <f>VLOOKUP(A352,representatives_list!A:B,2,FALSE)</f>
        <v>Glutathione synthetase ATP-binding domain-like</v>
      </c>
      <c r="N352" t="str">
        <f>VLOOKUP(B352,representatives_list!A:B,2,FALSE)</f>
        <v>Phosphoglycerate kinase</v>
      </c>
      <c r="O352" t="str">
        <f>VLOOKUP(aggregated_results!B352,representatives_list!A:E,5,FALSE)</f>
        <v>ABG(–)</v>
      </c>
      <c r="P352" t="str">
        <f>VLOOKUP(aggregated_results!B352,representatives_list!A:D,3,FALSE)</f>
        <v>Pi</v>
      </c>
      <c r="Q352" t="str">
        <f>VLOOKUP(aggregated_results!B352,representatives_list!A:D,4,FALSE)</f>
        <v>c.86.1</v>
      </c>
    </row>
    <row r="353" spans="1:17" x14ac:dyDescent="0.25">
      <c r="A353" t="s">
        <v>33</v>
      </c>
      <c r="B353" t="s">
        <v>29</v>
      </c>
      <c r="C353">
        <v>2.4</v>
      </c>
      <c r="D353">
        <v>4.7</v>
      </c>
      <c r="E353">
        <v>117</v>
      </c>
      <c r="F353">
        <v>530</v>
      </c>
      <c r="G353">
        <v>9</v>
      </c>
      <c r="I353" t="str">
        <f t="shared" si="5"/>
        <v/>
      </c>
      <c r="J353" t="str">
        <f>VLOOKUP(aggregated_results!A353,representatives_list!A:D,4,FALSE)</f>
        <v>e.23.1</v>
      </c>
      <c r="K353" t="str">
        <f>VLOOKUP(aggregated_results!A353,representatives_list!A:D,3,FALSE)</f>
        <v>PPi</v>
      </c>
      <c r="L353" t="str">
        <f>VLOOKUP(aggregated_results!A353,representatives_list!A:E,5,FALSE)</f>
        <v>BG(+)</v>
      </c>
      <c r="M353" t="str">
        <f>VLOOKUP(A353,representatives_list!A:B,2,FALSE)</f>
        <v>Acetyl-CoA synthetase-like</v>
      </c>
      <c r="N353" t="str">
        <f>VLOOKUP(B353,representatives_list!A:B,2,FALSE)</f>
        <v>PRTase-like</v>
      </c>
      <c r="O353" t="str">
        <f>VLOOKUP(aggregated_results!B353,representatives_list!A:E,5,FALSE)</f>
        <v>ABG(+)</v>
      </c>
      <c r="P353" t="str">
        <f>VLOOKUP(aggregated_results!B353,representatives_list!A:D,3,FALSE)</f>
        <v>PPi</v>
      </c>
      <c r="Q353" t="str">
        <f>VLOOKUP(aggregated_results!B353,representatives_list!A:D,4,FALSE)</f>
        <v>c.61.1</v>
      </c>
    </row>
    <row r="354" spans="1:17" x14ac:dyDescent="0.25">
      <c r="A354" t="s">
        <v>33</v>
      </c>
      <c r="B354" t="s">
        <v>67</v>
      </c>
      <c r="C354">
        <v>2.4</v>
      </c>
      <c r="D354">
        <v>13.1</v>
      </c>
      <c r="E354">
        <v>85</v>
      </c>
      <c r="F354">
        <v>530</v>
      </c>
      <c r="G354">
        <v>13</v>
      </c>
      <c r="I354" t="str">
        <f t="shared" si="5"/>
        <v/>
      </c>
      <c r="J354" t="str">
        <f>VLOOKUP(aggregated_results!A354,representatives_list!A:D,4,FALSE)</f>
        <v>e.23.1</v>
      </c>
      <c r="K354" t="str">
        <f>VLOOKUP(aggregated_results!A354,representatives_list!A:D,3,FALSE)</f>
        <v>PPi</v>
      </c>
      <c r="L354" t="str">
        <f>VLOOKUP(aggregated_results!A354,representatives_list!A:E,5,FALSE)</f>
        <v>BG(+)</v>
      </c>
      <c r="M354" t="str">
        <f>VLOOKUP(A354,representatives_list!A:B,2,FALSE)</f>
        <v>Acetyl-CoA synthetase-like</v>
      </c>
      <c r="N354" t="str">
        <f>VLOOKUP(B354,representatives_list!A:B,2,FALSE)</f>
        <v>Thiamin pyrophosphokinase, catalytic domain</v>
      </c>
      <c r="O354" t="str">
        <f>VLOOKUP(aggregated_results!B354,representatives_list!A:E,5,FALSE)</f>
        <v>AG</v>
      </c>
      <c r="P354" t="str">
        <f>VLOOKUP(aggregated_results!B354,representatives_list!A:D,3,FALSE)</f>
        <v>PPi</v>
      </c>
      <c r="Q354" t="str">
        <f>VLOOKUP(aggregated_results!B354,representatives_list!A:D,4,FALSE)</f>
        <v>c.100.1</v>
      </c>
    </row>
    <row r="355" spans="1:17" x14ac:dyDescent="0.25">
      <c r="A355" t="s">
        <v>38</v>
      </c>
      <c r="B355" t="s">
        <v>77</v>
      </c>
      <c r="C355">
        <v>2.4</v>
      </c>
      <c r="D355">
        <v>4.3</v>
      </c>
      <c r="E355">
        <v>97</v>
      </c>
      <c r="F355">
        <v>349</v>
      </c>
      <c r="G355">
        <v>10</v>
      </c>
      <c r="I355" t="str">
        <f t="shared" si="5"/>
        <v/>
      </c>
      <c r="J355" t="str">
        <f>VLOOKUP(aggregated_results!A355,representatives_list!A:D,4,FALSE)</f>
        <v>d.320.1</v>
      </c>
      <c r="K355" t="str">
        <f>VLOOKUP(aggregated_results!A355,representatives_list!A:D,3,FALSE)</f>
        <v>PPi</v>
      </c>
      <c r="L355" t="str">
        <f>VLOOKUP(aggregated_results!A355,representatives_list!A:E,5,FALSE)</f>
        <v>ABG(–)</v>
      </c>
      <c r="M355" t="str">
        <f>VLOOKUP(A355,representatives_list!A:B,2,FALSE)</f>
        <v>YojJ-like</v>
      </c>
      <c r="N355" t="str">
        <f>VLOOKUP(B355,representatives_list!A:B,2,FALSE)</f>
        <v>Nucleotidyltransferase</v>
      </c>
      <c r="O355" t="str">
        <f>VLOOKUP(aggregated_results!B355,representatives_list!A:E,5,FALSE)</f>
        <v>ABG(–)</v>
      </c>
      <c r="P355" t="str">
        <f>VLOOKUP(aggregated_results!B355,representatives_list!A:D,3,FALSE)</f>
        <v>PPi</v>
      </c>
      <c r="Q355" t="str">
        <f>VLOOKUP(aggregated_results!B355,representatives_list!A:D,4,FALSE)</f>
        <v>d.218.1</v>
      </c>
    </row>
    <row r="356" spans="1:17" x14ac:dyDescent="0.25">
      <c r="A356" t="s">
        <v>58</v>
      </c>
      <c r="B356" t="s">
        <v>25</v>
      </c>
      <c r="C356">
        <v>2.4</v>
      </c>
      <c r="D356">
        <v>3</v>
      </c>
      <c r="E356">
        <v>80</v>
      </c>
      <c r="F356">
        <v>105</v>
      </c>
      <c r="G356">
        <v>5</v>
      </c>
      <c r="I356" t="str">
        <f t="shared" si="5"/>
        <v/>
      </c>
      <c r="J356" t="str">
        <f>VLOOKUP(aggregated_results!A356,representatives_list!A:D,4,FALSE)</f>
        <v>f.62.1</v>
      </c>
      <c r="K356" t="str">
        <f>VLOOKUP(aggregated_results!A356,representatives_list!A:D,3,FALSE)</f>
        <v>Pi</v>
      </c>
      <c r="L356" t="str">
        <f>VLOOKUP(aggregated_results!A356,representatives_list!A:E,5,FALSE)</f>
        <v>BG(–)</v>
      </c>
      <c r="M356" t="str">
        <f>VLOOKUP(A356,representatives_list!A:B,2,FALSE)</f>
        <v>Diacylglycerol kinase (DgkA)-like</v>
      </c>
      <c r="N356" t="str">
        <f>VLOOKUP(B356,representatives_list!A:B,2,FALSE)</f>
        <v>Carbamate kinase-like</v>
      </c>
      <c r="O356" t="str">
        <f>VLOOKUP(aggregated_results!B356,representatives_list!A:E,5,FALSE)</f>
        <v>ABG(+)</v>
      </c>
      <c r="P356" t="str">
        <f>VLOOKUP(aggregated_results!B356,representatives_list!A:D,3,FALSE)</f>
        <v>Pi</v>
      </c>
      <c r="Q356" t="str">
        <f>VLOOKUP(aggregated_results!B356,representatives_list!A:D,4,FALSE)</f>
        <v>c.73.1</v>
      </c>
    </row>
    <row r="357" spans="1:17" x14ac:dyDescent="0.25">
      <c r="A357" t="s">
        <v>60</v>
      </c>
      <c r="B357" t="s">
        <v>41</v>
      </c>
      <c r="C357">
        <v>2.4</v>
      </c>
      <c r="D357">
        <v>6.2</v>
      </c>
      <c r="E357">
        <v>93</v>
      </c>
      <c r="F357">
        <v>1095</v>
      </c>
      <c r="G357">
        <v>4</v>
      </c>
      <c r="I357" t="e">
        <f t="shared" si="5"/>
        <v>#N/A</v>
      </c>
      <c r="J357" t="str">
        <f>VLOOKUP(aggregated_results!A357,representatives_list!A:D,4,FALSE)</f>
        <v>N/A</v>
      </c>
      <c r="K357" t="str">
        <f>VLOOKUP(aggregated_results!A357,representatives_list!A:D,3,FALSE)</f>
        <v>PPi</v>
      </c>
      <c r="L357" t="str">
        <f>VLOOKUP(aggregated_results!A357,representatives_list!A:E,5,FALSE)</f>
        <v>ABG(+)</v>
      </c>
      <c r="M357" t="str">
        <f>VLOOKUP(A357,representatives_list!A:B,2,FALSE)</f>
        <v>Virion DNA-directed RNA polymerase domain</v>
      </c>
      <c r="N357" t="str">
        <f>VLOOKUP(B357,representatives_list!A:B,2,FALSE)</f>
        <v>Molybdenum cofactor biosynthesis proteins</v>
      </c>
      <c r="O357" t="str">
        <f>VLOOKUP(aggregated_results!B357,representatives_list!A:E,5,FALSE)</f>
        <v>ABG(–)</v>
      </c>
      <c r="P357" t="str">
        <f>VLOOKUP(aggregated_results!B357,representatives_list!A:D,3,FALSE)</f>
        <v>Pi</v>
      </c>
      <c r="Q357" t="str">
        <f>VLOOKUP(aggregated_results!B357,representatives_list!A:D,4,FALSE)</f>
        <v>c.57.1</v>
      </c>
    </row>
    <row r="358" spans="1:17" x14ac:dyDescent="0.25">
      <c r="A358" t="s">
        <v>47</v>
      </c>
      <c r="B358" t="s">
        <v>52</v>
      </c>
      <c r="C358">
        <v>2.4</v>
      </c>
      <c r="D358">
        <v>3.8</v>
      </c>
      <c r="E358">
        <v>83</v>
      </c>
      <c r="F358">
        <v>159</v>
      </c>
      <c r="G358">
        <v>14</v>
      </c>
      <c r="I358" t="str">
        <f t="shared" si="5"/>
        <v/>
      </c>
      <c r="J358" t="str">
        <f>VLOOKUP(aggregated_results!A358,representatives_list!A:D,4,FALSE)</f>
        <v>d.58.30</v>
      </c>
      <c r="K358" t="str">
        <f>VLOOKUP(aggregated_results!A358,representatives_list!A:D,3,FALSE)</f>
        <v>PPi</v>
      </c>
      <c r="L358" t="str">
        <f>VLOOKUP(aggregated_results!A358,representatives_list!A:E,5,FALSE)</f>
        <v>AB(+)</v>
      </c>
      <c r="M358" t="str">
        <f>VLOOKUP(A358,representatives_list!A:B,2,FALSE)</f>
        <v>6-hydroxymethyl-7,8-dihydropterin pyrophosphokinase, HPPK</v>
      </c>
      <c r="N358" t="str">
        <f>VLOOKUP(B358,representatives_list!A:B,2,FALSE)</f>
        <v>PurM N-terminal domain-like</v>
      </c>
      <c r="O358" t="str">
        <f>VLOOKUP(aggregated_results!B358,representatives_list!A:E,5,FALSE)</f>
        <v>ABG(+)</v>
      </c>
      <c r="P358" t="str">
        <f>VLOOKUP(aggregated_results!B358,representatives_list!A:D,3,FALSE)</f>
        <v>Pi</v>
      </c>
      <c r="Q358" t="str">
        <f>VLOOKUP(aggregated_results!B358,representatives_list!A:D,4,FALSE)</f>
        <v>d.79.4</v>
      </c>
    </row>
    <row r="359" spans="1:17" x14ac:dyDescent="0.25">
      <c r="A359" t="s">
        <v>46</v>
      </c>
      <c r="B359" t="s">
        <v>32</v>
      </c>
      <c r="C359">
        <v>2.4</v>
      </c>
      <c r="D359">
        <v>5</v>
      </c>
      <c r="E359">
        <v>102</v>
      </c>
      <c r="F359">
        <v>253</v>
      </c>
      <c r="G359">
        <v>12</v>
      </c>
      <c r="I359" t="e">
        <f t="shared" si="5"/>
        <v>#N/A</v>
      </c>
      <c r="J359" t="str">
        <f>VLOOKUP(aggregated_results!A359,representatives_list!A:D,4,FALSE)</f>
        <v>N/A</v>
      </c>
      <c r="K359" t="str">
        <f>VLOOKUP(aggregated_results!A359,representatives_list!A:D,3,FALSE)</f>
        <v>PPi</v>
      </c>
      <c r="L359" t="str">
        <f>VLOOKUP(aggregated_results!A359,representatives_list!A:E,5,FALSE)</f>
        <v>ABG(+)</v>
      </c>
      <c r="M359" t="str">
        <f>VLOOKUP(A359,representatives_list!A:B,2,FALSE)</f>
        <v>Phosphopantoate/pantothenate synthetase superfamily</v>
      </c>
      <c r="N359" t="str">
        <f>VLOOKUP(B359,representatives_list!A:B,2,FALSE)</f>
        <v>Phosphoenolpyruvate/pyruvate domain</v>
      </c>
      <c r="O359" t="str">
        <f>VLOOKUP(aggregated_results!B359,representatives_list!A:E,5,FALSE)</f>
        <v>ABG(–)</v>
      </c>
      <c r="P359" t="str">
        <f>VLOOKUP(aggregated_results!B359,representatives_list!A:D,3,FALSE)</f>
        <v>Pi</v>
      </c>
      <c r="Q359" t="str">
        <f>VLOOKUP(aggregated_results!B359,representatives_list!A:D,4,FALSE)</f>
        <v>c.1.12</v>
      </c>
    </row>
    <row r="360" spans="1:17" x14ac:dyDescent="0.25">
      <c r="A360" t="s">
        <v>46</v>
      </c>
      <c r="B360" t="s">
        <v>73</v>
      </c>
      <c r="C360">
        <v>2.4</v>
      </c>
      <c r="D360">
        <v>5.3</v>
      </c>
      <c r="E360">
        <v>122</v>
      </c>
      <c r="F360">
        <v>253</v>
      </c>
      <c r="G360">
        <v>10</v>
      </c>
      <c r="I360" t="e">
        <f t="shared" si="5"/>
        <v>#N/A</v>
      </c>
      <c r="J360" t="str">
        <f>VLOOKUP(aggregated_results!A360,representatives_list!A:D,4,FALSE)</f>
        <v>N/A</v>
      </c>
      <c r="K360" t="str">
        <f>VLOOKUP(aggregated_results!A360,representatives_list!A:D,3,FALSE)</f>
        <v>PPi</v>
      </c>
      <c r="L360" t="str">
        <f>VLOOKUP(aggregated_results!A360,representatives_list!A:E,5,FALSE)</f>
        <v>ABG(+)</v>
      </c>
      <c r="M360" t="str">
        <f>VLOOKUP(A360,representatives_list!A:B,2,FALSE)</f>
        <v>Phosphopantoate/pantothenate synthetase superfamily</v>
      </c>
      <c r="N360" t="str">
        <f>VLOOKUP(B360,representatives_list!A:B,2,FALSE)</f>
        <v>Adenine nucleotide alpha hydrolases-like</v>
      </c>
      <c r="O360" t="str">
        <f>VLOOKUP(aggregated_results!B360,representatives_list!A:E,5,FALSE)</f>
        <v>ABG(+)</v>
      </c>
      <c r="P360" t="str">
        <f>VLOOKUP(aggregated_results!B360,representatives_list!A:D,3,FALSE)</f>
        <v>PPi</v>
      </c>
      <c r="Q360" t="str">
        <f>VLOOKUP(aggregated_results!B360,representatives_list!A:D,4,FALSE)</f>
        <v>c.26.2</v>
      </c>
    </row>
    <row r="361" spans="1:17" x14ac:dyDescent="0.25">
      <c r="A361" t="s">
        <v>21</v>
      </c>
      <c r="B361" t="s">
        <v>55</v>
      </c>
      <c r="C361">
        <v>2.4</v>
      </c>
      <c r="D361">
        <v>14.7</v>
      </c>
      <c r="E361">
        <v>79</v>
      </c>
      <c r="F361">
        <v>753</v>
      </c>
      <c r="G361">
        <v>11</v>
      </c>
      <c r="I361" t="str">
        <f t="shared" si="5"/>
        <v/>
      </c>
      <c r="J361" t="str">
        <f>VLOOKUP(aggregated_results!A361,representatives_list!A:D,4,FALSE)</f>
        <v>d.115.1</v>
      </c>
      <c r="K361" t="str">
        <f>VLOOKUP(aggregated_results!A361,representatives_list!A:D,3,FALSE)</f>
        <v>PPi</v>
      </c>
      <c r="L361" t="str">
        <f>VLOOKUP(aggregated_results!A361,representatives_list!A:E,5,FALSE)</f>
        <v>ABG(–)</v>
      </c>
      <c r="M361" t="str">
        <f>VLOOKUP(A361,representatives_list!A:B,2,FALSE)</f>
        <v>YrdC/RibB</v>
      </c>
      <c r="N361" t="str">
        <f>VLOOKUP(B361,representatives_list!A:B,2,FALSE)</f>
        <v>DNA primase core</v>
      </c>
      <c r="O361" t="str">
        <f>VLOOKUP(aggregated_results!B361,representatives_list!A:E,5,FALSE)</f>
        <v>AB(–)</v>
      </c>
      <c r="P361" t="str">
        <f>VLOOKUP(aggregated_results!B361,representatives_list!A:D,3,FALSE)</f>
        <v>PPi</v>
      </c>
      <c r="Q361" t="str">
        <f>VLOOKUP(aggregated_results!B361,representatives_list!A:D,4,FALSE)</f>
        <v>e.13.1</v>
      </c>
    </row>
    <row r="362" spans="1:17" x14ac:dyDescent="0.25">
      <c r="A362" t="s">
        <v>21</v>
      </c>
      <c r="B362" t="s">
        <v>71</v>
      </c>
      <c r="C362">
        <v>2.4</v>
      </c>
      <c r="D362">
        <v>10.7</v>
      </c>
      <c r="E362">
        <v>91</v>
      </c>
      <c r="F362">
        <v>753</v>
      </c>
      <c r="G362">
        <v>4</v>
      </c>
      <c r="I362" t="str">
        <f t="shared" si="5"/>
        <v/>
      </c>
      <c r="J362" t="str">
        <f>VLOOKUP(aggregated_results!A362,representatives_list!A:D,4,FALSE)</f>
        <v>d.115.1</v>
      </c>
      <c r="K362" t="str">
        <f>VLOOKUP(aggregated_results!A362,representatives_list!A:D,3,FALSE)</f>
        <v>PPi</v>
      </c>
      <c r="L362" t="str">
        <f>VLOOKUP(aggregated_results!A362,representatives_list!A:E,5,FALSE)</f>
        <v>ABG(–)</v>
      </c>
      <c r="M362" t="str">
        <f>VLOOKUP(A362,representatives_list!A:B,2,FALSE)</f>
        <v>YrdC/RibB</v>
      </c>
      <c r="N362" t="str">
        <f>VLOOKUP(B362,representatives_list!A:B,2,FALSE)</f>
        <v>EPT/RTPC-like</v>
      </c>
      <c r="O362" t="str">
        <f>VLOOKUP(aggregated_results!B362,representatives_list!A:E,5,FALSE)</f>
        <v>ABG(–)</v>
      </c>
      <c r="P362" t="str">
        <f>VLOOKUP(aggregated_results!B362,representatives_list!A:D,3,FALSE)</f>
        <v>PPi</v>
      </c>
      <c r="Q362" t="str">
        <f>VLOOKUP(aggregated_results!B362,representatives_list!A:D,4,FALSE)</f>
        <v>d.68.2</v>
      </c>
    </row>
    <row r="363" spans="1:17" x14ac:dyDescent="0.25">
      <c r="A363" t="s">
        <v>56</v>
      </c>
      <c r="B363" t="s">
        <v>35</v>
      </c>
      <c r="C363">
        <v>2.4</v>
      </c>
      <c r="D363">
        <v>12.7</v>
      </c>
      <c r="E363">
        <v>75</v>
      </c>
      <c r="F363">
        <v>516</v>
      </c>
      <c r="G363">
        <v>9</v>
      </c>
      <c r="I363" t="str">
        <f t="shared" si="5"/>
        <v/>
      </c>
      <c r="J363" t="str">
        <f>VLOOKUP(aggregated_results!A363,representatives_list!A:D,4,FALSE)</f>
        <v>a.129.1</v>
      </c>
      <c r="K363" t="str">
        <f>VLOOKUP(aggregated_results!A363,representatives_list!A:D,3,FALSE)</f>
        <v>Pi</v>
      </c>
      <c r="L363" t="str">
        <f>VLOOKUP(aggregated_results!A363,representatives_list!A:E,5,FALSE)</f>
        <v>ABG(+)</v>
      </c>
      <c r="M363" t="str">
        <f>VLOOKUP(A363,representatives_list!A:B,2,FALSE)</f>
        <v>GroEL equatorial domain-like</v>
      </c>
      <c r="N363" t="str">
        <f>VLOOKUP(B363,representatives_list!A:B,2,FALSE)</f>
        <v>Phosphoglycerate kinase</v>
      </c>
      <c r="O363" t="str">
        <f>VLOOKUP(aggregated_results!B363,representatives_list!A:E,5,FALSE)</f>
        <v>ABG(–)</v>
      </c>
      <c r="P363" t="str">
        <f>VLOOKUP(aggregated_results!B363,representatives_list!A:D,3,FALSE)</f>
        <v>Pi</v>
      </c>
      <c r="Q363" t="str">
        <f>VLOOKUP(aggregated_results!B363,representatives_list!A:D,4,FALSE)</f>
        <v>c.86.1</v>
      </c>
    </row>
    <row r="364" spans="1:17" x14ac:dyDescent="0.25">
      <c r="A364" t="s">
        <v>20</v>
      </c>
      <c r="B364" t="s">
        <v>51</v>
      </c>
      <c r="C364">
        <v>2.4</v>
      </c>
      <c r="D364">
        <v>20.7</v>
      </c>
      <c r="E364">
        <v>126</v>
      </c>
      <c r="F364">
        <v>994</v>
      </c>
      <c r="G364">
        <v>10</v>
      </c>
      <c r="I364" t="e">
        <f t="shared" si="5"/>
        <v>#N/A</v>
      </c>
      <c r="J364" t="str">
        <f>VLOOKUP(aggregated_results!A364,representatives_list!A:D,4,FALSE)</f>
        <v>N/A</v>
      </c>
      <c r="K364" t="str">
        <f>VLOOKUP(aggregated_results!A364,representatives_list!A:D,3,FALSE)</f>
        <v>PPi</v>
      </c>
      <c r="L364" t="str">
        <f>VLOOKUP(aggregated_results!A364,representatives_list!A:E,5,FALSE)</f>
        <v>ABG(–)</v>
      </c>
      <c r="M364" t="str">
        <f>VLOOKUP(A364,representatives_list!A:B,2,FALSE)</f>
        <v>Bacterial DNA polymerase III, alpha subunit, NTPase domain</v>
      </c>
      <c r="N364" t="str">
        <f>VLOOKUP(B364,representatives_list!A:B,2,FALSE)</f>
        <v>DhaL-like</v>
      </c>
      <c r="O364" t="str">
        <f>VLOOKUP(aggregated_results!B364,representatives_list!A:E,5,FALSE)</f>
        <v>BG(–)</v>
      </c>
      <c r="P364" t="str">
        <f>VLOOKUP(aggregated_results!B364,representatives_list!A:D,3,FALSE)</f>
        <v>Pi</v>
      </c>
      <c r="Q364" t="str">
        <f>VLOOKUP(aggregated_results!B364,representatives_list!A:D,4,FALSE)</f>
        <v>a.208.1</v>
      </c>
    </row>
    <row r="365" spans="1:17" x14ac:dyDescent="0.25">
      <c r="A365" t="s">
        <v>53</v>
      </c>
      <c r="B365" t="s">
        <v>56</v>
      </c>
      <c r="C365">
        <v>2.4</v>
      </c>
      <c r="D365">
        <v>15.5</v>
      </c>
      <c r="E365">
        <v>88</v>
      </c>
      <c r="F365">
        <v>415</v>
      </c>
      <c r="G365">
        <v>6</v>
      </c>
      <c r="I365" t="str">
        <f t="shared" si="5"/>
        <v/>
      </c>
      <c r="J365" t="str">
        <f>VLOOKUP(aggregated_results!A365,representatives_list!A:D,4,FALSE)</f>
        <v>d.144.1</v>
      </c>
      <c r="K365" t="str">
        <f>VLOOKUP(aggregated_results!A365,representatives_list!A:D,3,FALSE)</f>
        <v>Pi</v>
      </c>
      <c r="L365" t="str">
        <f>VLOOKUP(aggregated_results!A365,representatives_list!A:E,5,FALSE)</f>
        <v>BG(–)</v>
      </c>
      <c r="M365" t="str">
        <f>VLOOKUP(A365,representatives_list!A:B,2,FALSE)</f>
        <v>Protein kinase-like (PK-like)</v>
      </c>
      <c r="N365" t="str">
        <f>VLOOKUP(B365,representatives_list!A:B,2,FALSE)</f>
        <v>GroEL equatorial domain-like</v>
      </c>
      <c r="O365" t="str">
        <f>VLOOKUP(aggregated_results!B365,representatives_list!A:E,5,FALSE)</f>
        <v>ABG(+)</v>
      </c>
      <c r="P365" t="str">
        <f>VLOOKUP(aggregated_results!B365,representatives_list!A:D,3,FALSE)</f>
        <v>Pi</v>
      </c>
      <c r="Q365" t="str">
        <f>VLOOKUP(aggregated_results!B365,representatives_list!A:D,4,FALSE)</f>
        <v>a.129.1</v>
      </c>
    </row>
    <row r="366" spans="1:17" x14ac:dyDescent="0.25">
      <c r="A366" t="s">
        <v>24</v>
      </c>
      <c r="B366" t="s">
        <v>51</v>
      </c>
      <c r="C366">
        <v>2.4</v>
      </c>
      <c r="D366">
        <v>8.9</v>
      </c>
      <c r="E366">
        <v>88</v>
      </c>
      <c r="F366">
        <v>315</v>
      </c>
      <c r="G366">
        <v>9</v>
      </c>
      <c r="I366" t="str">
        <f t="shared" si="5"/>
        <v/>
      </c>
      <c r="J366" t="str">
        <f>VLOOKUP(aggregated_results!A366,representatives_list!A:D,4,FALSE)</f>
        <v>c.72.1</v>
      </c>
      <c r="K366" t="str">
        <f>VLOOKUP(aggregated_results!A366,representatives_list!A:D,3,FALSE)</f>
        <v>Pi</v>
      </c>
      <c r="L366" t="str">
        <f>VLOOKUP(aggregated_results!A366,representatives_list!A:E,5,FALSE)</f>
        <v>BG(–)</v>
      </c>
      <c r="M366" t="str">
        <f>VLOOKUP(A366,representatives_list!A:B,2,FALSE)</f>
        <v>Ribokinase-like</v>
      </c>
      <c r="N366" t="str">
        <f>VLOOKUP(B366,representatives_list!A:B,2,FALSE)</f>
        <v>DhaL-like</v>
      </c>
      <c r="O366" t="str">
        <f>VLOOKUP(aggregated_results!B366,representatives_list!A:E,5,FALSE)</f>
        <v>BG(–)</v>
      </c>
      <c r="P366" t="str">
        <f>VLOOKUP(aggregated_results!B366,representatives_list!A:D,3,FALSE)</f>
        <v>Pi</v>
      </c>
      <c r="Q366" t="str">
        <f>VLOOKUP(aggregated_results!B366,representatives_list!A:D,4,FALSE)</f>
        <v>a.208.1</v>
      </c>
    </row>
    <row r="367" spans="1:17" x14ac:dyDescent="0.25">
      <c r="A367" t="s">
        <v>67</v>
      </c>
      <c r="B367" t="s">
        <v>29</v>
      </c>
      <c r="C367">
        <v>2.4</v>
      </c>
      <c r="D367">
        <v>10.9</v>
      </c>
      <c r="E367">
        <v>92</v>
      </c>
      <c r="F367">
        <v>255</v>
      </c>
      <c r="G367">
        <v>9</v>
      </c>
      <c r="I367" t="str">
        <f t="shared" si="5"/>
        <v/>
      </c>
      <c r="J367" t="str">
        <f>VLOOKUP(aggregated_results!A367,representatives_list!A:D,4,FALSE)</f>
        <v>c.100.1</v>
      </c>
      <c r="K367" t="str">
        <f>VLOOKUP(aggregated_results!A367,representatives_list!A:D,3,FALSE)</f>
        <v>PPi</v>
      </c>
      <c r="L367" t="str">
        <f>VLOOKUP(aggregated_results!A367,representatives_list!A:E,5,FALSE)</f>
        <v>AG</v>
      </c>
      <c r="M367" t="str">
        <f>VLOOKUP(A367,representatives_list!A:B,2,FALSE)</f>
        <v>Thiamin pyrophosphokinase, catalytic domain</v>
      </c>
      <c r="N367" t="str">
        <f>VLOOKUP(B367,representatives_list!A:B,2,FALSE)</f>
        <v>PRTase-like</v>
      </c>
      <c r="O367" t="str">
        <f>VLOOKUP(aggregated_results!B367,representatives_list!A:E,5,FALSE)</f>
        <v>ABG(+)</v>
      </c>
      <c r="P367" t="str">
        <f>VLOOKUP(aggregated_results!B367,representatives_list!A:D,3,FALSE)</f>
        <v>PPi</v>
      </c>
      <c r="Q367" t="str">
        <f>VLOOKUP(aggregated_results!B367,representatives_list!A:D,4,FALSE)</f>
        <v>c.61.1</v>
      </c>
    </row>
    <row r="368" spans="1:17" x14ac:dyDescent="0.25">
      <c r="A368" t="s">
        <v>67</v>
      </c>
      <c r="B368" t="s">
        <v>87</v>
      </c>
      <c r="C368">
        <v>2.4</v>
      </c>
      <c r="D368">
        <v>16.7</v>
      </c>
      <c r="E368">
        <v>102</v>
      </c>
      <c r="F368">
        <v>255</v>
      </c>
      <c r="G368">
        <v>13</v>
      </c>
      <c r="I368" t="str">
        <f t="shared" si="5"/>
        <v/>
      </c>
      <c r="J368" t="str">
        <f>VLOOKUP(aggregated_results!A368,representatives_list!A:D,4,FALSE)</f>
        <v>c.100.1</v>
      </c>
      <c r="K368" t="str">
        <f>VLOOKUP(aggregated_results!A368,representatives_list!A:D,3,FALSE)</f>
        <v>PPi</v>
      </c>
      <c r="L368" t="str">
        <f>VLOOKUP(aggregated_results!A368,representatives_list!A:E,5,FALSE)</f>
        <v>AG</v>
      </c>
      <c r="M368" t="str">
        <f>VLOOKUP(A368,representatives_list!A:B,2,FALSE)</f>
        <v>Thiamin pyrophosphokinase, catalytic domain</v>
      </c>
      <c r="N368" t="str">
        <f>VLOOKUP(B368,representatives_list!A:B,2,FALSE)</f>
        <v>Phospholipase D/nuclease</v>
      </c>
      <c r="O368" t="str">
        <f>VLOOKUP(aggregated_results!B368,representatives_list!A:E,5,FALSE)</f>
        <v>N/A</v>
      </c>
      <c r="P368" t="str">
        <f>VLOOKUP(aggregated_results!B368,representatives_list!A:D,3,FALSE)</f>
        <v>Pi</v>
      </c>
      <c r="Q368" t="str">
        <f>VLOOKUP(aggregated_results!B368,representatives_list!A:D,4,FALSE)</f>
        <v>d.136.1</v>
      </c>
    </row>
    <row r="369" spans="1:17" x14ac:dyDescent="0.25">
      <c r="A369" t="s">
        <v>67</v>
      </c>
      <c r="B369" t="s">
        <v>51</v>
      </c>
      <c r="C369">
        <v>2.4</v>
      </c>
      <c r="D369">
        <v>4.8</v>
      </c>
      <c r="E369">
        <v>103</v>
      </c>
      <c r="F369">
        <v>255</v>
      </c>
      <c r="G369">
        <v>8</v>
      </c>
      <c r="I369" t="str">
        <f t="shared" si="5"/>
        <v/>
      </c>
      <c r="J369" t="str">
        <f>VLOOKUP(aggregated_results!A369,representatives_list!A:D,4,FALSE)</f>
        <v>c.100.1</v>
      </c>
      <c r="K369" t="str">
        <f>VLOOKUP(aggregated_results!A369,representatives_list!A:D,3,FALSE)</f>
        <v>PPi</v>
      </c>
      <c r="L369" t="str">
        <f>VLOOKUP(aggregated_results!A369,representatives_list!A:E,5,FALSE)</f>
        <v>AG</v>
      </c>
      <c r="M369" t="str">
        <f>VLOOKUP(A369,representatives_list!A:B,2,FALSE)</f>
        <v>Thiamin pyrophosphokinase, catalytic domain</v>
      </c>
      <c r="N369" t="str">
        <f>VLOOKUP(B369,representatives_list!A:B,2,FALSE)</f>
        <v>DhaL-like</v>
      </c>
      <c r="O369" t="str">
        <f>VLOOKUP(aggregated_results!B369,representatives_list!A:E,5,FALSE)</f>
        <v>BG(–)</v>
      </c>
      <c r="P369" t="str">
        <f>VLOOKUP(aggregated_results!B369,representatives_list!A:D,3,FALSE)</f>
        <v>Pi</v>
      </c>
      <c r="Q369" t="str">
        <f>VLOOKUP(aggregated_results!B369,representatives_list!A:D,4,FALSE)</f>
        <v>a.208.1</v>
      </c>
    </row>
    <row r="370" spans="1:17" x14ac:dyDescent="0.25">
      <c r="A370" t="s">
        <v>64</v>
      </c>
      <c r="B370" t="s">
        <v>51</v>
      </c>
      <c r="C370">
        <v>2.4</v>
      </c>
      <c r="D370">
        <v>3.1</v>
      </c>
      <c r="E370">
        <v>83</v>
      </c>
      <c r="F370">
        <v>412</v>
      </c>
      <c r="G370">
        <v>6</v>
      </c>
      <c r="I370" t="str">
        <f t="shared" si="5"/>
        <v/>
      </c>
      <c r="J370" t="str">
        <f>VLOOKUP(aggregated_results!A370,representatives_list!A:D,4,FALSE)</f>
        <v>c.146.1</v>
      </c>
      <c r="K370" t="str">
        <f>VLOOKUP(aggregated_results!A370,representatives_list!A:D,3,FALSE)</f>
        <v>Pi</v>
      </c>
      <c r="L370" t="str">
        <f>VLOOKUP(aggregated_results!A370,representatives_list!A:E,5,FALSE)</f>
        <v>N/A</v>
      </c>
      <c r="M370" t="str">
        <f>VLOOKUP(A370,representatives_list!A:B,2,FALSE)</f>
        <v>YgbK-like</v>
      </c>
      <c r="N370" t="str">
        <f>VLOOKUP(B370,representatives_list!A:B,2,FALSE)</f>
        <v>DhaL-like</v>
      </c>
      <c r="O370" t="str">
        <f>VLOOKUP(aggregated_results!B370,representatives_list!A:E,5,FALSE)</f>
        <v>BG(–)</v>
      </c>
      <c r="P370" t="str">
        <f>VLOOKUP(aggregated_results!B370,representatives_list!A:D,3,FALSE)</f>
        <v>Pi</v>
      </c>
      <c r="Q370" t="str">
        <f>VLOOKUP(aggregated_results!B370,representatives_list!A:D,4,FALSE)</f>
        <v>a.208.1</v>
      </c>
    </row>
    <row r="371" spans="1:17" x14ac:dyDescent="0.25">
      <c r="A371" t="s">
        <v>51</v>
      </c>
      <c r="B371" t="s">
        <v>35</v>
      </c>
      <c r="C371">
        <v>2.4</v>
      </c>
      <c r="D371">
        <v>4.2</v>
      </c>
      <c r="E371">
        <v>107</v>
      </c>
      <c r="F371">
        <v>537</v>
      </c>
      <c r="G371">
        <v>9</v>
      </c>
      <c r="I371" t="str">
        <f t="shared" si="5"/>
        <v/>
      </c>
      <c r="J371" t="str">
        <f>VLOOKUP(aggregated_results!A371,representatives_list!A:D,4,FALSE)</f>
        <v>a.208.1</v>
      </c>
      <c r="K371" t="str">
        <f>VLOOKUP(aggregated_results!A371,representatives_list!A:D,3,FALSE)</f>
        <v>Pi</v>
      </c>
      <c r="L371" t="str">
        <f>VLOOKUP(aggregated_results!A371,representatives_list!A:E,5,FALSE)</f>
        <v>BG(–)</v>
      </c>
      <c r="M371" t="str">
        <f>VLOOKUP(A371,representatives_list!A:B,2,FALSE)</f>
        <v>DhaL-like</v>
      </c>
      <c r="N371" t="str">
        <f>VLOOKUP(B371,representatives_list!A:B,2,FALSE)</f>
        <v>Phosphoglycerate kinase</v>
      </c>
      <c r="O371" t="str">
        <f>VLOOKUP(aggregated_results!B371,representatives_list!A:E,5,FALSE)</f>
        <v>ABG(–)</v>
      </c>
      <c r="P371" t="str">
        <f>VLOOKUP(aggregated_results!B371,representatives_list!A:D,3,FALSE)</f>
        <v>Pi</v>
      </c>
      <c r="Q371" t="str">
        <f>VLOOKUP(aggregated_results!B371,representatives_list!A:D,4,FALSE)</f>
        <v>c.86.1</v>
      </c>
    </row>
    <row r="372" spans="1:17" x14ac:dyDescent="0.25">
      <c r="A372" t="s">
        <v>89</v>
      </c>
      <c r="B372" t="s">
        <v>51</v>
      </c>
      <c r="C372">
        <v>2.4</v>
      </c>
      <c r="D372">
        <v>3.5</v>
      </c>
      <c r="E372">
        <v>71</v>
      </c>
      <c r="F372">
        <v>126</v>
      </c>
      <c r="G372">
        <v>6</v>
      </c>
      <c r="I372" t="str">
        <f t="shared" si="5"/>
        <v/>
      </c>
      <c r="J372" t="str">
        <f>VLOOKUP(aggregated_results!A372,representatives_list!A:D,4,FALSE)</f>
        <v>d.13.1</v>
      </c>
      <c r="K372" t="str">
        <f>VLOOKUP(aggregated_results!A372,representatives_list!A:D,3,FALSE)</f>
        <v>Pi</v>
      </c>
      <c r="L372" t="str">
        <f>VLOOKUP(aggregated_results!A372,representatives_list!A:E,5,FALSE)</f>
        <v>N/A</v>
      </c>
      <c r="M372" t="str">
        <f>VLOOKUP(A372,representatives_list!A:B,2,FALSE)</f>
        <v>HIT-like</v>
      </c>
      <c r="N372" t="str">
        <f>VLOOKUP(B372,representatives_list!A:B,2,FALSE)</f>
        <v>DhaL-like</v>
      </c>
      <c r="O372" t="str">
        <f>VLOOKUP(aggregated_results!B372,representatives_list!A:E,5,FALSE)</f>
        <v>BG(–)</v>
      </c>
      <c r="P372" t="str">
        <f>VLOOKUP(aggregated_results!B372,representatives_list!A:D,3,FALSE)</f>
        <v>Pi</v>
      </c>
      <c r="Q372" t="str">
        <f>VLOOKUP(aggregated_results!B372,representatives_list!A:D,4,FALSE)</f>
        <v>a.208.1</v>
      </c>
    </row>
    <row r="373" spans="1:17" x14ac:dyDescent="0.25">
      <c r="A373" t="s">
        <v>22</v>
      </c>
      <c r="B373" t="s">
        <v>51</v>
      </c>
      <c r="C373">
        <v>2.4</v>
      </c>
      <c r="D373">
        <v>6.4</v>
      </c>
      <c r="E373">
        <v>106</v>
      </c>
      <c r="F373">
        <v>368</v>
      </c>
      <c r="G373">
        <v>8</v>
      </c>
      <c r="I373" t="str">
        <f t="shared" si="5"/>
        <v/>
      </c>
      <c r="J373" t="str">
        <f>VLOOKUP(aggregated_results!A373,representatives_list!A:D,4,FALSE)</f>
        <v>c.55.1</v>
      </c>
      <c r="K373" t="str">
        <f>VLOOKUP(aggregated_results!A373,representatives_list!A:D,3,FALSE)</f>
        <v>Pi</v>
      </c>
      <c r="L373" t="str">
        <f>VLOOKUP(aggregated_results!A373,representatives_list!A:E,5,FALSE)</f>
        <v>BG(+)</v>
      </c>
      <c r="M373" t="str">
        <f>VLOOKUP(A373,representatives_list!A:B,2,FALSE)</f>
        <v>Actin-like ATPase domain</v>
      </c>
      <c r="N373" t="str">
        <f>VLOOKUP(B373,representatives_list!A:B,2,FALSE)</f>
        <v>DhaL-like</v>
      </c>
      <c r="O373" t="str">
        <f>VLOOKUP(aggregated_results!B373,representatives_list!A:E,5,FALSE)</f>
        <v>BG(–)</v>
      </c>
      <c r="P373" t="str">
        <f>VLOOKUP(aggregated_results!B373,representatives_list!A:D,3,FALSE)</f>
        <v>Pi</v>
      </c>
      <c r="Q373" t="str">
        <f>VLOOKUP(aggregated_results!B373,representatives_list!A:D,4,FALSE)</f>
        <v>a.208.1</v>
      </c>
    </row>
    <row r="374" spans="1:17" x14ac:dyDescent="0.25">
      <c r="A374" t="s">
        <v>29</v>
      </c>
      <c r="B374" t="s">
        <v>51</v>
      </c>
      <c r="C374">
        <v>2.2999999999999998</v>
      </c>
      <c r="D374">
        <v>3.9</v>
      </c>
      <c r="E374">
        <v>109</v>
      </c>
      <c r="F374">
        <v>309</v>
      </c>
      <c r="G374">
        <v>7</v>
      </c>
      <c r="I374" t="str">
        <f t="shared" si="5"/>
        <v/>
      </c>
      <c r="J374" t="str">
        <f>VLOOKUP(aggregated_results!A374,representatives_list!A:D,4,FALSE)</f>
        <v>c.61.1</v>
      </c>
      <c r="K374" t="str">
        <f>VLOOKUP(aggregated_results!A374,representatives_list!A:D,3,FALSE)</f>
        <v>PPi</v>
      </c>
      <c r="L374" t="str">
        <f>VLOOKUP(aggregated_results!A374,representatives_list!A:E,5,FALSE)</f>
        <v>ABG(+)</v>
      </c>
      <c r="M374" t="str">
        <f>VLOOKUP(A374,representatives_list!A:B,2,FALSE)</f>
        <v>PRTase-like</v>
      </c>
      <c r="N374" t="str">
        <f>VLOOKUP(B374,representatives_list!A:B,2,FALSE)</f>
        <v>DhaL-like</v>
      </c>
      <c r="O374" t="str">
        <f>VLOOKUP(aggregated_results!B374,representatives_list!A:E,5,FALSE)</f>
        <v>BG(–)</v>
      </c>
      <c r="P374" t="str">
        <f>VLOOKUP(aggregated_results!B374,representatives_list!A:D,3,FALSE)</f>
        <v>Pi</v>
      </c>
      <c r="Q374" t="str">
        <f>VLOOKUP(aggregated_results!B374,representatives_list!A:D,4,FALSE)</f>
        <v>a.208.1</v>
      </c>
    </row>
    <row r="375" spans="1:17" x14ac:dyDescent="0.25">
      <c r="A375" t="s">
        <v>82</v>
      </c>
      <c r="B375" t="s">
        <v>49</v>
      </c>
      <c r="C375">
        <v>2.2999999999999998</v>
      </c>
      <c r="D375">
        <v>26.2</v>
      </c>
      <c r="E375">
        <v>119</v>
      </c>
      <c r="F375">
        <v>933</v>
      </c>
      <c r="G375">
        <v>7</v>
      </c>
      <c r="I375" t="e">
        <f t="shared" si="5"/>
        <v>#N/A</v>
      </c>
      <c r="J375" t="str">
        <f>VLOOKUP(aggregated_results!A375,representatives_list!A:D,4,FALSE)</f>
        <v>N/A</v>
      </c>
      <c r="K375" t="str">
        <f>VLOOKUP(aggregated_results!A375,representatives_list!A:D,3,FALSE)</f>
        <v>PPi</v>
      </c>
      <c r="L375" t="str">
        <f>VLOOKUP(aggregated_results!A375,representatives_list!A:E,5,FALSE)</f>
        <v>ABG(–)</v>
      </c>
      <c r="M375" t="str">
        <f>VLOOKUP(A375,representatives_list!A:B,2,FALSE)</f>
        <v>RNA-dependent RNA polymerase, eukaryotic-type</v>
      </c>
      <c r="N375" t="str">
        <f>VLOOKUP(B375,representatives_list!A:B,2,FALSE)</f>
        <v>Influenza RNA-dependent RNA polymerase subunit PB1</v>
      </c>
      <c r="O375" t="str">
        <f>VLOOKUP(aggregated_results!B375,representatives_list!A:E,5,FALSE)</f>
        <v>ABG(–)</v>
      </c>
      <c r="P375" t="str">
        <f>VLOOKUP(aggregated_results!B375,representatives_list!A:D,3,FALSE)</f>
        <v>PPi</v>
      </c>
      <c r="Q375" t="str">
        <f>VLOOKUP(aggregated_results!B375,representatives_list!A:D,4,FALSE)</f>
        <v>N/A</v>
      </c>
    </row>
    <row r="376" spans="1:17" x14ac:dyDescent="0.25">
      <c r="A376" t="s">
        <v>27</v>
      </c>
      <c r="B376" t="s">
        <v>64</v>
      </c>
      <c r="C376">
        <v>2.2999999999999998</v>
      </c>
      <c r="D376">
        <v>3.5</v>
      </c>
      <c r="E376">
        <v>104</v>
      </c>
      <c r="F376">
        <v>304</v>
      </c>
      <c r="G376">
        <v>10</v>
      </c>
      <c r="I376" t="str">
        <f t="shared" si="5"/>
        <v/>
      </c>
      <c r="J376" t="str">
        <f>VLOOKUP(aggregated_results!A376,representatives_list!A:D,4,FALSE)</f>
        <v>c.72.3</v>
      </c>
      <c r="K376" t="str">
        <f>VLOOKUP(aggregated_results!A376,representatives_list!A:D,3,FALSE)</f>
        <v>PPi</v>
      </c>
      <c r="L376" t="str">
        <f>VLOOKUP(aggregated_results!A376,representatives_list!A:E,5,FALSE)</f>
        <v>ABG(–)</v>
      </c>
      <c r="M376" t="str">
        <f>VLOOKUP(A376,representatives_list!A:B,2,FALSE)</f>
        <v>CoaB-like</v>
      </c>
      <c r="N376" t="str">
        <f>VLOOKUP(B376,representatives_list!A:B,2,FALSE)</f>
        <v>YgbK-like</v>
      </c>
      <c r="O376" t="str">
        <f>VLOOKUP(aggregated_results!B376,representatives_list!A:E,5,FALSE)</f>
        <v>N/A</v>
      </c>
      <c r="P376" t="str">
        <f>VLOOKUP(aggregated_results!B376,representatives_list!A:D,3,FALSE)</f>
        <v>Pi</v>
      </c>
      <c r="Q376" t="str">
        <f>VLOOKUP(aggregated_results!B376,representatives_list!A:D,4,FALSE)</f>
        <v>c.146.1</v>
      </c>
    </row>
    <row r="377" spans="1:17" x14ac:dyDescent="0.25">
      <c r="A377" t="s">
        <v>90</v>
      </c>
      <c r="B377" t="s">
        <v>26</v>
      </c>
      <c r="C377">
        <v>2.2999999999999998</v>
      </c>
      <c r="D377">
        <v>3.7</v>
      </c>
      <c r="E377">
        <v>81</v>
      </c>
      <c r="F377">
        <v>430</v>
      </c>
      <c r="G377">
        <v>5</v>
      </c>
      <c r="I377" t="str">
        <f t="shared" si="5"/>
        <v/>
      </c>
      <c r="J377" t="str">
        <f>VLOOKUP(aggregated_results!A377,representatives_list!A:D,4,FALSE)</f>
        <v>d.128.1</v>
      </c>
      <c r="K377" t="str">
        <f>VLOOKUP(aggregated_results!A377,representatives_list!A:D,3,FALSE)</f>
        <v>Pi</v>
      </c>
      <c r="L377" t="str">
        <f>VLOOKUP(aggregated_results!A377,representatives_list!A:E,5,FALSE)</f>
        <v>BG(+)</v>
      </c>
      <c r="M377" t="str">
        <f>VLOOKUP(A377,representatives_list!A:B,2,FALSE)</f>
        <v>Glutamine synthetase/guanido kinase</v>
      </c>
      <c r="N377" t="str">
        <f>VLOOKUP(B377,representatives_list!A:B,2,FALSE)</f>
        <v>GlnB-like</v>
      </c>
      <c r="O377" t="str">
        <f>VLOOKUP(aggregated_results!B377,representatives_list!A:E,5,FALSE)</f>
        <v>ABG(–)</v>
      </c>
      <c r="P377" t="str">
        <f>VLOOKUP(aggregated_results!B377,representatives_list!A:D,3,FALSE)</f>
        <v>Pi</v>
      </c>
      <c r="Q377" t="str">
        <f>VLOOKUP(aggregated_results!B377,representatives_list!A:D,4,FALSE)</f>
        <v>d.58.5</v>
      </c>
    </row>
    <row r="378" spans="1:17" x14ac:dyDescent="0.25">
      <c r="A378" t="s">
        <v>34</v>
      </c>
      <c r="B378" t="s">
        <v>32</v>
      </c>
      <c r="C378">
        <v>2.2999999999999998</v>
      </c>
      <c r="D378">
        <v>3.8</v>
      </c>
      <c r="E378">
        <v>119</v>
      </c>
      <c r="F378">
        <v>426</v>
      </c>
      <c r="G378">
        <v>9</v>
      </c>
      <c r="I378" t="str">
        <f t="shared" si="5"/>
        <v/>
      </c>
      <c r="J378" t="str">
        <f>VLOOKUP(aggregated_results!A378,representatives_list!A:D,4,FALSE)</f>
        <v>c.32.1</v>
      </c>
      <c r="K378" t="str">
        <f>VLOOKUP(aggregated_results!A378,representatives_list!A:D,3,FALSE)</f>
        <v>Pi</v>
      </c>
      <c r="L378" t="str">
        <f>VLOOKUP(aggregated_results!A378,representatives_list!A:E,5,FALSE)</f>
        <v>BG(–)</v>
      </c>
      <c r="M378" t="str">
        <f>VLOOKUP(A378,representatives_list!A:B,2,FALSE)</f>
        <v>Tubulin nucleotide-binding domain-like</v>
      </c>
      <c r="N378" t="str">
        <f>VLOOKUP(B378,representatives_list!A:B,2,FALSE)</f>
        <v>Phosphoenolpyruvate/pyruvate domain</v>
      </c>
      <c r="O378" t="str">
        <f>VLOOKUP(aggregated_results!B378,representatives_list!A:E,5,FALSE)</f>
        <v>ABG(–)</v>
      </c>
      <c r="P378" t="str">
        <f>VLOOKUP(aggregated_results!B378,representatives_list!A:D,3,FALSE)</f>
        <v>Pi</v>
      </c>
      <c r="Q378" t="str">
        <f>VLOOKUP(aggregated_results!B378,representatives_list!A:D,4,FALSE)</f>
        <v>c.1.12</v>
      </c>
    </row>
    <row r="379" spans="1:17" x14ac:dyDescent="0.25">
      <c r="A379" t="s">
        <v>49</v>
      </c>
      <c r="B379" t="s">
        <v>31</v>
      </c>
      <c r="C379">
        <v>2.2999999999999998</v>
      </c>
      <c r="D379">
        <v>6.6</v>
      </c>
      <c r="E379">
        <v>93</v>
      </c>
      <c r="F379">
        <v>745</v>
      </c>
      <c r="G379">
        <v>12</v>
      </c>
      <c r="I379" t="e">
        <f t="shared" si="5"/>
        <v>#N/A</v>
      </c>
      <c r="J379" t="str">
        <f>VLOOKUP(aggregated_results!A379,representatives_list!A:D,4,FALSE)</f>
        <v>N/A</v>
      </c>
      <c r="K379" t="str">
        <f>VLOOKUP(aggregated_results!A379,representatives_list!A:D,3,FALSE)</f>
        <v>PPi</v>
      </c>
      <c r="L379" t="str">
        <f>VLOOKUP(aggregated_results!A379,representatives_list!A:E,5,FALSE)</f>
        <v>ABG(–)</v>
      </c>
      <c r="M379" t="str">
        <f>VLOOKUP(A379,representatives_list!A:B,2,FALSE)</f>
        <v>Influenza RNA-dependent RNA polymerase subunit PB1</v>
      </c>
      <c r="N379" t="str">
        <f>VLOOKUP(B379,representatives_list!A:B,2,FALSE)</f>
        <v>GHMP Kinase, C-terminal domain</v>
      </c>
      <c r="O379" t="str">
        <f>VLOOKUP(aggregated_results!B379,representatives_list!A:E,5,FALSE)</f>
        <v>ABG(+)</v>
      </c>
      <c r="P379" t="str">
        <f>VLOOKUP(aggregated_results!B379,representatives_list!A:D,3,FALSE)</f>
        <v>Pi</v>
      </c>
      <c r="Q379" t="str">
        <f>VLOOKUP(aggregated_results!B379,representatives_list!A:D,4,FALSE)</f>
        <v>d.58.26</v>
      </c>
    </row>
    <row r="380" spans="1:17" x14ac:dyDescent="0.25">
      <c r="A380" t="s">
        <v>28</v>
      </c>
      <c r="B380" t="s">
        <v>64</v>
      </c>
      <c r="C380">
        <v>2.2999999999999998</v>
      </c>
      <c r="D380">
        <v>4.2</v>
      </c>
      <c r="E380">
        <v>95</v>
      </c>
      <c r="F380">
        <v>301</v>
      </c>
      <c r="G380">
        <v>6</v>
      </c>
      <c r="I380" t="str">
        <f t="shared" si="5"/>
        <v/>
      </c>
      <c r="J380" t="str">
        <f>VLOOKUP(aggregated_results!A380,representatives_list!A:D,4,FALSE)</f>
        <v>c.111.1</v>
      </c>
      <c r="K380" t="str">
        <f>VLOOKUP(aggregated_results!A380,representatives_list!A:D,3,FALSE)</f>
        <v>PPi</v>
      </c>
      <c r="L380" t="str">
        <f>VLOOKUP(aggregated_results!A380,representatives_list!A:E,5,FALSE)</f>
        <v>ABG(+)</v>
      </c>
      <c r="M380" t="str">
        <f>VLOOKUP(A380,representatives_list!A:B,2,FALSE)</f>
        <v>Activating enzymes of the ubiquitin-like proteins</v>
      </c>
      <c r="N380" t="str">
        <f>VLOOKUP(B380,representatives_list!A:B,2,FALSE)</f>
        <v>YgbK-like</v>
      </c>
      <c r="O380" t="str">
        <f>VLOOKUP(aggregated_results!B380,representatives_list!A:E,5,FALSE)</f>
        <v>N/A</v>
      </c>
      <c r="P380" t="str">
        <f>VLOOKUP(aggregated_results!B380,representatives_list!A:D,3,FALSE)</f>
        <v>Pi</v>
      </c>
      <c r="Q380" t="str">
        <f>VLOOKUP(aggregated_results!B380,representatives_list!A:D,4,FALSE)</f>
        <v>c.146.1</v>
      </c>
    </row>
    <row r="381" spans="1:17" x14ac:dyDescent="0.25">
      <c r="A381" t="s">
        <v>28</v>
      </c>
      <c r="B381" t="s">
        <v>74</v>
      </c>
      <c r="C381">
        <v>2.2999999999999998</v>
      </c>
      <c r="D381">
        <v>14.4</v>
      </c>
      <c r="E381">
        <v>130</v>
      </c>
      <c r="F381">
        <v>301</v>
      </c>
      <c r="G381">
        <v>11</v>
      </c>
      <c r="I381" t="str">
        <f t="shared" si="5"/>
        <v/>
      </c>
      <c r="J381" t="str">
        <f>VLOOKUP(aggregated_results!A381,representatives_list!A:D,4,FALSE)</f>
        <v>c.111.1</v>
      </c>
      <c r="K381" t="str">
        <f>VLOOKUP(aggregated_results!A381,representatives_list!A:D,3,FALSE)</f>
        <v>PPi</v>
      </c>
      <c r="L381" t="str">
        <f>VLOOKUP(aggregated_results!A381,representatives_list!A:E,5,FALSE)</f>
        <v>ABG(+)</v>
      </c>
      <c r="M381" t="str">
        <f>VLOOKUP(A381,representatives_list!A:B,2,FALSE)</f>
        <v>Activating enzymes of the ubiquitin-like proteins</v>
      </c>
      <c r="N381" t="str">
        <f>VLOOKUP(B381,representatives_list!A:B,2,FALSE)</f>
        <v>Nucleotidylyl transferase</v>
      </c>
      <c r="O381" t="str">
        <f>VLOOKUP(aggregated_results!B381,representatives_list!A:E,5,FALSE)</f>
        <v>ABG(–)</v>
      </c>
      <c r="P381" t="str">
        <f>VLOOKUP(aggregated_results!B381,representatives_list!A:D,3,FALSE)</f>
        <v>PPi</v>
      </c>
      <c r="Q381" t="str">
        <f>VLOOKUP(aggregated_results!B381,representatives_list!A:D,4,FALSE)</f>
        <v>c.26.1</v>
      </c>
    </row>
    <row r="382" spans="1:17" x14ac:dyDescent="0.25">
      <c r="A382" t="s">
        <v>54</v>
      </c>
      <c r="B382" t="s">
        <v>34</v>
      </c>
      <c r="C382">
        <v>2.2999999999999998</v>
      </c>
      <c r="D382">
        <v>4.0999999999999996</v>
      </c>
      <c r="E382">
        <v>110</v>
      </c>
      <c r="F382">
        <v>317</v>
      </c>
      <c r="G382">
        <v>9</v>
      </c>
      <c r="I382" t="str">
        <f t="shared" si="5"/>
        <v/>
      </c>
      <c r="J382" t="str">
        <f>VLOOKUP(aggregated_results!A382,representatives_list!A:D,4,FALSE)</f>
        <v>d.142.1</v>
      </c>
      <c r="K382" t="str">
        <f>VLOOKUP(aggregated_results!A382,representatives_list!A:D,3,FALSE)</f>
        <v>Pi</v>
      </c>
      <c r="L382" t="str">
        <f>VLOOKUP(aggregated_results!A382,representatives_list!A:E,5,FALSE)</f>
        <v>BG(–)</v>
      </c>
      <c r="M382" t="str">
        <f>VLOOKUP(A382,representatives_list!A:B,2,FALSE)</f>
        <v>Glutathione synthetase ATP-binding domain-like</v>
      </c>
      <c r="N382" t="str">
        <f>VLOOKUP(B382,representatives_list!A:B,2,FALSE)</f>
        <v>Tubulin nucleotide-binding domain-like</v>
      </c>
      <c r="O382" t="str">
        <f>VLOOKUP(aggregated_results!B382,representatives_list!A:E,5,FALSE)</f>
        <v>BG(–)</v>
      </c>
      <c r="P382" t="str">
        <f>VLOOKUP(aggregated_results!B382,representatives_list!A:D,3,FALSE)</f>
        <v>Pi</v>
      </c>
      <c r="Q382" t="str">
        <f>VLOOKUP(aggregated_results!B382,representatives_list!A:D,4,FALSE)</f>
        <v>c.32.1</v>
      </c>
    </row>
    <row r="383" spans="1:17" x14ac:dyDescent="0.25">
      <c r="A383" t="s">
        <v>52</v>
      </c>
      <c r="B383" t="s">
        <v>50</v>
      </c>
      <c r="C383">
        <v>2.2999999999999998</v>
      </c>
      <c r="D383">
        <v>4</v>
      </c>
      <c r="E383">
        <v>80</v>
      </c>
      <c r="F383">
        <v>304</v>
      </c>
      <c r="G383">
        <v>3</v>
      </c>
      <c r="I383" t="str">
        <f t="shared" si="5"/>
        <v/>
      </c>
      <c r="J383" t="str">
        <f>VLOOKUP(aggregated_results!A383,representatives_list!A:D,4,FALSE)</f>
        <v>d.79.4</v>
      </c>
      <c r="K383" t="str">
        <f>VLOOKUP(aggregated_results!A383,representatives_list!A:D,3,FALSE)</f>
        <v>Pi</v>
      </c>
      <c r="L383" t="str">
        <f>VLOOKUP(aggregated_results!A383,representatives_list!A:E,5,FALSE)</f>
        <v>ABG(+)</v>
      </c>
      <c r="M383" t="str">
        <f>VLOOKUP(A383,representatives_list!A:B,2,FALSE)</f>
        <v>PurM N-terminal domain-like</v>
      </c>
      <c r="N383" t="str">
        <f>VLOOKUP(B383,representatives_list!A:B,2,FALSE)</f>
        <v>Nucleoside diphosphate kinase, NDK</v>
      </c>
      <c r="O383" t="str">
        <f>VLOOKUP(aggregated_results!B383,representatives_list!A:E,5,FALSE)</f>
        <v>ABG(+)</v>
      </c>
      <c r="P383" t="str">
        <f>VLOOKUP(aggregated_results!B383,representatives_list!A:D,3,FALSE)</f>
        <v>Pi</v>
      </c>
      <c r="Q383" t="str">
        <f>VLOOKUP(aggregated_results!B383,representatives_list!A:D,4,FALSE)</f>
        <v>d.58.6</v>
      </c>
    </row>
    <row r="384" spans="1:17" x14ac:dyDescent="0.25">
      <c r="A384" t="s">
        <v>33</v>
      </c>
      <c r="B384" t="s">
        <v>80</v>
      </c>
      <c r="C384">
        <v>2.2999999999999998</v>
      </c>
      <c r="D384">
        <v>4</v>
      </c>
      <c r="E384">
        <v>85</v>
      </c>
      <c r="F384">
        <v>530</v>
      </c>
      <c r="G384">
        <v>6</v>
      </c>
      <c r="I384" t="str">
        <f t="shared" si="5"/>
        <v/>
      </c>
      <c r="J384" t="str">
        <f>VLOOKUP(aggregated_results!A384,representatives_list!A:D,4,FALSE)</f>
        <v>e.23.1</v>
      </c>
      <c r="K384" t="str">
        <f>VLOOKUP(aggregated_results!A384,representatives_list!A:D,3,FALSE)</f>
        <v>PPi</v>
      </c>
      <c r="L384" t="str">
        <f>VLOOKUP(aggregated_results!A384,representatives_list!A:E,5,FALSE)</f>
        <v>BG(+)</v>
      </c>
      <c r="M384" t="str">
        <f>VLOOKUP(A384,representatives_list!A:B,2,FALSE)</f>
        <v>Acetyl-CoA synthetase-like</v>
      </c>
      <c r="N384" t="str">
        <f>VLOOKUP(B384,representatives_list!A:B,2,FALSE)</f>
        <v>NagB/RpiA/CoA transferase-like</v>
      </c>
      <c r="O384" t="str">
        <f>VLOOKUP(aggregated_results!B384,representatives_list!A:E,5,FALSE)</f>
        <v>N/A</v>
      </c>
      <c r="P384" t="str">
        <f>VLOOKUP(aggregated_results!B384,representatives_list!A:D,3,FALSE)</f>
        <v>Pi</v>
      </c>
      <c r="Q384" t="str">
        <f>VLOOKUP(aggregated_results!B384,representatives_list!A:D,4,FALSE)</f>
        <v>c.124.1</v>
      </c>
    </row>
    <row r="385" spans="1:17" x14ac:dyDescent="0.25">
      <c r="A385" t="s">
        <v>38</v>
      </c>
      <c r="B385" t="s">
        <v>51</v>
      </c>
      <c r="C385">
        <v>2.2999999999999998</v>
      </c>
      <c r="D385">
        <v>10.6</v>
      </c>
      <c r="E385">
        <v>69</v>
      </c>
      <c r="F385">
        <v>349</v>
      </c>
      <c r="G385">
        <v>3</v>
      </c>
      <c r="I385" t="str">
        <f t="shared" si="5"/>
        <v/>
      </c>
      <c r="J385" t="str">
        <f>VLOOKUP(aggregated_results!A385,representatives_list!A:D,4,FALSE)</f>
        <v>d.320.1</v>
      </c>
      <c r="K385" t="str">
        <f>VLOOKUP(aggregated_results!A385,representatives_list!A:D,3,FALSE)</f>
        <v>PPi</v>
      </c>
      <c r="L385" t="str">
        <f>VLOOKUP(aggregated_results!A385,representatives_list!A:E,5,FALSE)</f>
        <v>ABG(–)</v>
      </c>
      <c r="M385" t="str">
        <f>VLOOKUP(A385,representatives_list!A:B,2,FALSE)</f>
        <v>YojJ-like</v>
      </c>
      <c r="N385" t="str">
        <f>VLOOKUP(B385,representatives_list!A:B,2,FALSE)</f>
        <v>DhaL-like</v>
      </c>
      <c r="O385" t="str">
        <f>VLOOKUP(aggregated_results!B385,representatives_list!A:E,5,FALSE)</f>
        <v>BG(–)</v>
      </c>
      <c r="P385" t="str">
        <f>VLOOKUP(aggregated_results!B385,representatives_list!A:D,3,FALSE)</f>
        <v>Pi</v>
      </c>
      <c r="Q385" t="str">
        <f>VLOOKUP(aggregated_results!B385,representatives_list!A:D,4,FALSE)</f>
        <v>a.208.1</v>
      </c>
    </row>
    <row r="386" spans="1:17" x14ac:dyDescent="0.25">
      <c r="A386" t="s">
        <v>17</v>
      </c>
      <c r="B386" t="s">
        <v>48</v>
      </c>
      <c r="C386">
        <v>2.2999999999999998</v>
      </c>
      <c r="D386">
        <v>20.100000000000001</v>
      </c>
      <c r="E386">
        <v>88</v>
      </c>
      <c r="F386">
        <v>427</v>
      </c>
      <c r="G386">
        <v>9</v>
      </c>
      <c r="I386" t="str">
        <f t="shared" si="5"/>
        <v/>
      </c>
      <c r="J386" t="str">
        <f>VLOOKUP(aggregated_results!A386,representatives_list!A:D,4,FALSE)</f>
        <v>e.8.1</v>
      </c>
      <c r="K386" t="str">
        <f>VLOOKUP(aggregated_results!A386,representatives_list!A:D,3,FALSE)</f>
        <v>PPi</v>
      </c>
      <c r="L386" t="str">
        <f>VLOOKUP(aggregated_results!A386,representatives_list!A:E,5,FALSE)</f>
        <v>ABG(–)</v>
      </c>
      <c r="M386" t="str">
        <f>VLOOKUP(A386,representatives_list!A:B,2,FALSE)</f>
        <v>DNA/RNA polymerases</v>
      </c>
      <c r="N386" t="str">
        <f>VLOOKUP(B386,representatives_list!A:B,2,FALSE)</f>
        <v>Metal cation-transporting ATPase, ATP-binding domain N</v>
      </c>
      <c r="O386" t="str">
        <f>VLOOKUP(aggregated_results!B386,representatives_list!A:E,5,FALSE)</f>
        <v>BG(–)</v>
      </c>
      <c r="P386" t="str">
        <f>VLOOKUP(aggregated_results!B386,representatives_list!A:D,3,FALSE)</f>
        <v>Pi</v>
      </c>
      <c r="Q386" t="str">
        <f>VLOOKUP(aggregated_results!B386,representatives_list!A:D,4,FALSE)</f>
        <v>d.220.1</v>
      </c>
    </row>
    <row r="387" spans="1:17" x14ac:dyDescent="0.25">
      <c r="A387" t="s">
        <v>60</v>
      </c>
      <c r="B387" t="s">
        <v>56</v>
      </c>
      <c r="C387">
        <v>2.2999999999999998</v>
      </c>
      <c r="D387">
        <v>9.4</v>
      </c>
      <c r="E387">
        <v>93</v>
      </c>
      <c r="F387">
        <v>1095</v>
      </c>
      <c r="G387">
        <v>4</v>
      </c>
      <c r="I387" t="e">
        <f t="shared" ref="I387:I450" si="6">IF(_xlfn.TEXTBEFORE(J387,".",2,0,1)=_xlfn.TEXTBEFORE(Q387,".",2,0,1),"x","")</f>
        <v>#N/A</v>
      </c>
      <c r="J387" t="str">
        <f>VLOOKUP(aggregated_results!A387,representatives_list!A:D,4,FALSE)</f>
        <v>N/A</v>
      </c>
      <c r="K387" t="str">
        <f>VLOOKUP(aggregated_results!A387,representatives_list!A:D,3,FALSE)</f>
        <v>PPi</v>
      </c>
      <c r="L387" t="str">
        <f>VLOOKUP(aggregated_results!A387,representatives_list!A:E,5,FALSE)</f>
        <v>ABG(+)</v>
      </c>
      <c r="M387" t="str">
        <f>VLOOKUP(A387,representatives_list!A:B,2,FALSE)</f>
        <v>Virion DNA-directed RNA polymerase domain</v>
      </c>
      <c r="N387" t="str">
        <f>VLOOKUP(B387,representatives_list!A:B,2,FALSE)</f>
        <v>GroEL equatorial domain-like</v>
      </c>
      <c r="O387" t="str">
        <f>VLOOKUP(aggregated_results!B387,representatives_list!A:E,5,FALSE)</f>
        <v>ABG(+)</v>
      </c>
      <c r="P387" t="str">
        <f>VLOOKUP(aggregated_results!B387,representatives_list!A:D,3,FALSE)</f>
        <v>Pi</v>
      </c>
      <c r="Q387" t="str">
        <f>VLOOKUP(aggregated_results!B387,representatives_list!A:D,4,FALSE)</f>
        <v>a.129.1</v>
      </c>
    </row>
    <row r="388" spans="1:17" x14ac:dyDescent="0.25">
      <c r="A388" t="s">
        <v>60</v>
      </c>
      <c r="B388" t="s">
        <v>73</v>
      </c>
      <c r="C388">
        <v>2.2999999999999998</v>
      </c>
      <c r="D388">
        <v>8.9</v>
      </c>
      <c r="E388">
        <v>106</v>
      </c>
      <c r="F388">
        <v>1095</v>
      </c>
      <c r="G388">
        <v>8</v>
      </c>
      <c r="I388" t="e">
        <f t="shared" si="6"/>
        <v>#N/A</v>
      </c>
      <c r="J388" t="str">
        <f>VLOOKUP(aggregated_results!A388,representatives_list!A:D,4,FALSE)</f>
        <v>N/A</v>
      </c>
      <c r="K388" t="str">
        <f>VLOOKUP(aggregated_results!A388,representatives_list!A:D,3,FALSE)</f>
        <v>PPi</v>
      </c>
      <c r="L388" t="str">
        <f>VLOOKUP(aggregated_results!A388,representatives_list!A:E,5,FALSE)</f>
        <v>ABG(+)</v>
      </c>
      <c r="M388" t="str">
        <f>VLOOKUP(A388,representatives_list!A:B,2,FALSE)</f>
        <v>Virion DNA-directed RNA polymerase domain</v>
      </c>
      <c r="N388" t="str">
        <f>VLOOKUP(B388,representatives_list!A:B,2,FALSE)</f>
        <v>Adenine nucleotide alpha hydrolases-like</v>
      </c>
      <c r="O388" t="str">
        <f>VLOOKUP(aggregated_results!B388,representatives_list!A:E,5,FALSE)</f>
        <v>ABG(+)</v>
      </c>
      <c r="P388" t="str">
        <f>VLOOKUP(aggregated_results!B388,representatives_list!A:D,3,FALSE)</f>
        <v>PPi</v>
      </c>
      <c r="Q388" t="str">
        <f>VLOOKUP(aggregated_results!B388,representatives_list!A:D,4,FALSE)</f>
        <v>c.26.2</v>
      </c>
    </row>
    <row r="389" spans="1:17" x14ac:dyDescent="0.25">
      <c r="A389" t="s">
        <v>55</v>
      </c>
      <c r="B389" t="s">
        <v>35</v>
      </c>
      <c r="C389">
        <v>2.2999999999999998</v>
      </c>
      <c r="D389">
        <v>7.4</v>
      </c>
      <c r="E389">
        <v>93</v>
      </c>
      <c r="F389">
        <v>321</v>
      </c>
      <c r="G389">
        <v>18</v>
      </c>
      <c r="I389" t="str">
        <f t="shared" si="6"/>
        <v/>
      </c>
      <c r="J389" t="str">
        <f>VLOOKUP(aggregated_results!A389,representatives_list!A:D,4,FALSE)</f>
        <v>e.13.1</v>
      </c>
      <c r="K389" t="str">
        <f>VLOOKUP(aggregated_results!A389,representatives_list!A:D,3,FALSE)</f>
        <v>PPi</v>
      </c>
      <c r="L389" t="str">
        <f>VLOOKUP(aggregated_results!A389,representatives_list!A:E,5,FALSE)</f>
        <v>AB(–)</v>
      </c>
      <c r="M389" t="str">
        <f>VLOOKUP(A389,representatives_list!A:B,2,FALSE)</f>
        <v>DNA primase core</v>
      </c>
      <c r="N389" t="str">
        <f>VLOOKUP(B389,representatives_list!A:B,2,FALSE)</f>
        <v>Phosphoglycerate kinase</v>
      </c>
      <c r="O389" t="str">
        <f>VLOOKUP(aggregated_results!B389,representatives_list!A:E,5,FALSE)</f>
        <v>ABG(–)</v>
      </c>
      <c r="P389" t="str">
        <f>VLOOKUP(aggregated_results!B389,representatives_list!A:D,3,FALSE)</f>
        <v>Pi</v>
      </c>
      <c r="Q389" t="str">
        <f>VLOOKUP(aggregated_results!B389,representatives_list!A:D,4,FALSE)</f>
        <v>c.86.1</v>
      </c>
    </row>
    <row r="390" spans="1:17" x14ac:dyDescent="0.25">
      <c r="A390" t="s">
        <v>48</v>
      </c>
      <c r="B390" t="s">
        <v>54</v>
      </c>
      <c r="C390">
        <v>2.2999999999999998</v>
      </c>
      <c r="D390">
        <v>3.3</v>
      </c>
      <c r="E390">
        <v>94</v>
      </c>
      <c r="F390">
        <v>994</v>
      </c>
      <c r="G390">
        <v>3</v>
      </c>
      <c r="I390" t="str">
        <f t="shared" si="6"/>
        <v/>
      </c>
      <c r="J390" t="str">
        <f>VLOOKUP(aggregated_results!A390,representatives_list!A:D,4,FALSE)</f>
        <v>d.220.1</v>
      </c>
      <c r="K390" t="str">
        <f>VLOOKUP(aggregated_results!A390,representatives_list!A:D,3,FALSE)</f>
        <v>Pi</v>
      </c>
      <c r="L390" t="str">
        <f>VLOOKUP(aggregated_results!A390,representatives_list!A:E,5,FALSE)</f>
        <v>BG(–)</v>
      </c>
      <c r="M390" t="str">
        <f>VLOOKUP(A390,representatives_list!A:B,2,FALSE)</f>
        <v>Metal cation-transporting ATPase, ATP-binding domain N</v>
      </c>
      <c r="N390" t="str">
        <f>VLOOKUP(B390,representatives_list!A:B,2,FALSE)</f>
        <v>Glutathione synthetase ATP-binding domain-like</v>
      </c>
      <c r="O390" t="str">
        <f>VLOOKUP(aggregated_results!B390,representatives_list!A:E,5,FALSE)</f>
        <v>BG(–)</v>
      </c>
      <c r="P390" t="str">
        <f>VLOOKUP(aggregated_results!B390,representatives_list!A:D,3,FALSE)</f>
        <v>Pi</v>
      </c>
      <c r="Q390" t="str">
        <f>VLOOKUP(aggregated_results!B390,representatives_list!A:D,4,FALSE)</f>
        <v>d.142.1</v>
      </c>
    </row>
    <row r="391" spans="1:17" x14ac:dyDescent="0.25">
      <c r="A391" t="s">
        <v>48</v>
      </c>
      <c r="B391" t="s">
        <v>42</v>
      </c>
      <c r="C391">
        <v>2.2999999999999998</v>
      </c>
      <c r="D391">
        <v>3.3</v>
      </c>
      <c r="E391">
        <v>80</v>
      </c>
      <c r="F391">
        <v>994</v>
      </c>
      <c r="G391">
        <v>4</v>
      </c>
      <c r="I391" t="str">
        <f t="shared" si="6"/>
        <v/>
      </c>
      <c r="J391" t="str">
        <f>VLOOKUP(aggregated_results!A391,representatives_list!A:D,4,FALSE)</f>
        <v>d.220.1</v>
      </c>
      <c r="K391" t="str">
        <f>VLOOKUP(aggregated_results!A391,representatives_list!A:D,3,FALSE)</f>
        <v>Pi</v>
      </c>
      <c r="L391" t="str">
        <f>VLOOKUP(aggregated_results!A391,representatives_list!A:E,5,FALSE)</f>
        <v>BG(–)</v>
      </c>
      <c r="M391" t="str">
        <f>VLOOKUP(A391,representatives_list!A:B,2,FALSE)</f>
        <v>Metal cation-transporting ATPase, ATP-binding domain N</v>
      </c>
      <c r="N391" t="str">
        <f>VLOOKUP(B391,representatives_list!A:B,2,FALSE)</f>
        <v>NAD kinase/diacylglycerol kinase-like</v>
      </c>
      <c r="O391" t="str">
        <f>VLOOKUP(aggregated_results!B391,representatives_list!A:E,5,FALSE)</f>
        <v>ABG(+)</v>
      </c>
      <c r="P391" t="str">
        <f>VLOOKUP(aggregated_results!B391,representatives_list!A:D,3,FALSE)</f>
        <v>Pi</v>
      </c>
      <c r="Q391" t="str">
        <f>VLOOKUP(aggregated_results!B391,representatives_list!A:D,4,FALSE)</f>
        <v>e.52.1</v>
      </c>
    </row>
    <row r="392" spans="1:17" x14ac:dyDescent="0.25">
      <c r="A392" t="s">
        <v>46</v>
      </c>
      <c r="B392" t="s">
        <v>42</v>
      </c>
      <c r="C392">
        <v>2.2999999999999998</v>
      </c>
      <c r="D392">
        <v>3.8</v>
      </c>
      <c r="E392">
        <v>99</v>
      </c>
      <c r="F392">
        <v>253</v>
      </c>
      <c r="G392">
        <v>10</v>
      </c>
      <c r="I392" t="e">
        <f t="shared" si="6"/>
        <v>#N/A</v>
      </c>
      <c r="J392" t="str">
        <f>VLOOKUP(aggregated_results!A392,representatives_list!A:D,4,FALSE)</f>
        <v>N/A</v>
      </c>
      <c r="K392" t="str">
        <f>VLOOKUP(aggregated_results!A392,representatives_list!A:D,3,FALSE)</f>
        <v>PPi</v>
      </c>
      <c r="L392" t="str">
        <f>VLOOKUP(aggregated_results!A392,representatives_list!A:E,5,FALSE)</f>
        <v>ABG(+)</v>
      </c>
      <c r="M392" t="str">
        <f>VLOOKUP(A392,representatives_list!A:B,2,FALSE)</f>
        <v>Phosphopantoate/pantothenate synthetase superfamily</v>
      </c>
      <c r="N392" t="str">
        <f>VLOOKUP(B392,representatives_list!A:B,2,FALSE)</f>
        <v>NAD kinase/diacylglycerol kinase-like</v>
      </c>
      <c r="O392" t="str">
        <f>VLOOKUP(aggregated_results!B392,representatives_list!A:E,5,FALSE)</f>
        <v>ABG(+)</v>
      </c>
      <c r="P392" t="str">
        <f>VLOOKUP(aggregated_results!B392,representatives_list!A:D,3,FALSE)</f>
        <v>Pi</v>
      </c>
      <c r="Q392" t="str">
        <f>VLOOKUP(aggregated_results!B392,representatives_list!A:D,4,FALSE)</f>
        <v>e.52.1</v>
      </c>
    </row>
    <row r="393" spans="1:17" x14ac:dyDescent="0.25">
      <c r="A393" t="s">
        <v>21</v>
      </c>
      <c r="B393" t="s">
        <v>52</v>
      </c>
      <c r="C393">
        <v>2.2999999999999998</v>
      </c>
      <c r="D393">
        <v>5.5</v>
      </c>
      <c r="E393">
        <v>68</v>
      </c>
      <c r="F393">
        <v>753</v>
      </c>
      <c r="G393">
        <v>6</v>
      </c>
      <c r="I393" t="str">
        <f t="shared" si="6"/>
        <v/>
      </c>
      <c r="J393" t="str">
        <f>VLOOKUP(aggregated_results!A393,representatives_list!A:D,4,FALSE)</f>
        <v>d.115.1</v>
      </c>
      <c r="K393" t="str">
        <f>VLOOKUP(aggregated_results!A393,representatives_list!A:D,3,FALSE)</f>
        <v>PPi</v>
      </c>
      <c r="L393" t="str">
        <f>VLOOKUP(aggregated_results!A393,representatives_list!A:E,5,FALSE)</f>
        <v>ABG(–)</v>
      </c>
      <c r="M393" t="str">
        <f>VLOOKUP(A393,representatives_list!A:B,2,FALSE)</f>
        <v>YrdC/RibB</v>
      </c>
      <c r="N393" t="str">
        <f>VLOOKUP(B393,representatives_list!A:B,2,FALSE)</f>
        <v>PurM N-terminal domain-like</v>
      </c>
      <c r="O393" t="str">
        <f>VLOOKUP(aggregated_results!B393,representatives_list!A:E,5,FALSE)</f>
        <v>ABG(+)</v>
      </c>
      <c r="P393" t="str">
        <f>VLOOKUP(aggregated_results!B393,representatives_list!A:D,3,FALSE)</f>
        <v>Pi</v>
      </c>
      <c r="Q393" t="str">
        <f>VLOOKUP(aggregated_results!B393,representatives_list!A:D,4,FALSE)</f>
        <v>d.79.4</v>
      </c>
    </row>
    <row r="394" spans="1:17" x14ac:dyDescent="0.25">
      <c r="A394" t="s">
        <v>71</v>
      </c>
      <c r="B394" t="s">
        <v>61</v>
      </c>
      <c r="C394">
        <v>2.2999999999999998</v>
      </c>
      <c r="D394">
        <v>9.8000000000000007</v>
      </c>
      <c r="E394">
        <v>67</v>
      </c>
      <c r="F394">
        <v>336</v>
      </c>
      <c r="G394">
        <v>6</v>
      </c>
      <c r="I394" t="str">
        <f t="shared" si="6"/>
        <v/>
      </c>
      <c r="J394" t="str">
        <f>VLOOKUP(aggregated_results!A394,representatives_list!A:D,4,FALSE)</f>
        <v>d.68.2</v>
      </c>
      <c r="K394" t="str">
        <f>VLOOKUP(aggregated_results!A394,representatives_list!A:D,3,FALSE)</f>
        <v>PPi</v>
      </c>
      <c r="L394" t="str">
        <f>VLOOKUP(aggregated_results!A394,representatives_list!A:E,5,FALSE)</f>
        <v>ABG(–)</v>
      </c>
      <c r="M394" t="str">
        <f>VLOOKUP(A394,representatives_list!A:B,2,FALSE)</f>
        <v>EPT/RTPC-like</v>
      </c>
      <c r="N394" t="str">
        <f>VLOOKUP(B394,representatives_list!A:B,2,FALSE)</f>
        <v>Riboflavin kinase-like</v>
      </c>
      <c r="O394" t="str">
        <f>VLOOKUP(aggregated_results!B394,representatives_list!A:E,5,FALSE)</f>
        <v>ABG(+)</v>
      </c>
      <c r="P394" t="str">
        <f>VLOOKUP(aggregated_results!B394,representatives_list!A:D,3,FALSE)</f>
        <v>Pi</v>
      </c>
      <c r="Q394" t="str">
        <f>VLOOKUP(aggregated_results!B394,representatives_list!A:D,4,FALSE)</f>
        <v>b.43.5</v>
      </c>
    </row>
    <row r="395" spans="1:17" x14ac:dyDescent="0.25">
      <c r="A395" t="s">
        <v>71</v>
      </c>
      <c r="B395" t="s">
        <v>41</v>
      </c>
      <c r="C395">
        <v>2.2999999999999998</v>
      </c>
      <c r="D395">
        <v>15.4</v>
      </c>
      <c r="E395">
        <v>65</v>
      </c>
      <c r="F395">
        <v>336</v>
      </c>
      <c r="G395">
        <v>11</v>
      </c>
      <c r="I395" t="str">
        <f t="shared" si="6"/>
        <v/>
      </c>
      <c r="J395" t="str">
        <f>VLOOKUP(aggregated_results!A395,representatives_list!A:D,4,FALSE)</f>
        <v>d.68.2</v>
      </c>
      <c r="K395" t="str">
        <f>VLOOKUP(aggregated_results!A395,representatives_list!A:D,3,FALSE)</f>
        <v>PPi</v>
      </c>
      <c r="L395" t="str">
        <f>VLOOKUP(aggregated_results!A395,representatives_list!A:E,5,FALSE)</f>
        <v>ABG(–)</v>
      </c>
      <c r="M395" t="str">
        <f>VLOOKUP(A395,representatives_list!A:B,2,FALSE)</f>
        <v>EPT/RTPC-like</v>
      </c>
      <c r="N395" t="str">
        <f>VLOOKUP(B395,representatives_list!A:B,2,FALSE)</f>
        <v>Molybdenum cofactor biosynthesis proteins</v>
      </c>
      <c r="O395" t="str">
        <f>VLOOKUP(aggregated_results!B395,representatives_list!A:E,5,FALSE)</f>
        <v>ABG(–)</v>
      </c>
      <c r="P395" t="str">
        <f>VLOOKUP(aggregated_results!B395,representatives_list!A:D,3,FALSE)</f>
        <v>Pi</v>
      </c>
      <c r="Q395" t="str">
        <f>VLOOKUP(aggregated_results!B395,representatives_list!A:D,4,FALSE)</f>
        <v>c.57.1</v>
      </c>
    </row>
    <row r="396" spans="1:17" x14ac:dyDescent="0.25">
      <c r="A396" t="s">
        <v>66</v>
      </c>
      <c r="B396" t="s">
        <v>47</v>
      </c>
      <c r="C396">
        <v>2.2999999999999998</v>
      </c>
      <c r="D396">
        <v>4.3</v>
      </c>
      <c r="E396">
        <v>75</v>
      </c>
      <c r="F396">
        <v>146</v>
      </c>
      <c r="G396">
        <v>8</v>
      </c>
      <c r="I396" t="str">
        <f t="shared" si="6"/>
        <v>x</v>
      </c>
      <c r="J396" t="str">
        <f>VLOOKUP(aggregated_results!A396,representatives_list!A:D,4,FALSE)</f>
        <v>d.58.21</v>
      </c>
      <c r="K396" t="str">
        <f>VLOOKUP(aggregated_results!A396,representatives_list!A:D,3,FALSE)</f>
        <v>PPi</v>
      </c>
      <c r="L396" t="str">
        <f>VLOOKUP(aggregated_results!A396,representatives_list!A:E,5,FALSE)</f>
        <v>N/A</v>
      </c>
      <c r="M396" t="str">
        <f>VLOOKUP(A396,representatives_list!A:B,2,FALSE)</f>
        <v>Molybdenum cofactor biosynthesis protein C, MoaC</v>
      </c>
      <c r="N396" t="str">
        <f>VLOOKUP(B396,representatives_list!A:B,2,FALSE)</f>
        <v>6-hydroxymethyl-7,8-dihydropterin pyrophosphokinase, HPPK</v>
      </c>
      <c r="O396" t="str">
        <f>VLOOKUP(aggregated_results!B396,representatives_list!A:E,5,FALSE)</f>
        <v>AB(+)</v>
      </c>
      <c r="P396" t="str">
        <f>VLOOKUP(aggregated_results!B396,representatives_list!A:D,3,FALSE)</f>
        <v>PPi</v>
      </c>
      <c r="Q396" t="str">
        <f>VLOOKUP(aggregated_results!B396,representatives_list!A:D,4,FALSE)</f>
        <v>d.58.30</v>
      </c>
    </row>
    <row r="397" spans="1:17" x14ac:dyDescent="0.25">
      <c r="A397" t="s">
        <v>19</v>
      </c>
      <c r="B397" t="s">
        <v>17</v>
      </c>
      <c r="C397">
        <v>2.2999999999999998</v>
      </c>
      <c r="D397">
        <v>4.8</v>
      </c>
      <c r="E397">
        <v>83</v>
      </c>
      <c r="F397">
        <v>417</v>
      </c>
      <c r="G397">
        <v>6</v>
      </c>
      <c r="I397" t="e">
        <f t="shared" si="6"/>
        <v>#N/A</v>
      </c>
      <c r="J397" t="str">
        <f>VLOOKUP(aggregated_results!A397,representatives_list!A:D,4,FALSE)</f>
        <v>N/A</v>
      </c>
      <c r="K397" t="str">
        <f>VLOOKUP(aggregated_results!A397,representatives_list!A:D,3,FALSE)</f>
        <v>PPi</v>
      </c>
      <c r="L397" t="str">
        <f>VLOOKUP(aggregated_results!A397,representatives_list!A:E,5,FALSE)</f>
        <v>N/A</v>
      </c>
      <c r="M397" t="str">
        <f>VLOOKUP(A397,representatives_list!A:B,2,FALSE)</f>
        <v>tRNA(Ile2) 2-agmatinylcytidine synthetase TiaS</v>
      </c>
      <c r="N397" t="str">
        <f>VLOOKUP(B397,representatives_list!A:B,2,FALSE)</f>
        <v>DNA/RNA polymerases</v>
      </c>
      <c r="O397" t="str">
        <f>VLOOKUP(aggregated_results!B397,representatives_list!A:E,5,FALSE)</f>
        <v>ABG(–)</v>
      </c>
      <c r="P397" t="str">
        <f>VLOOKUP(aggregated_results!B397,representatives_list!A:D,3,FALSE)</f>
        <v>PPi</v>
      </c>
      <c r="Q397" t="str">
        <f>VLOOKUP(aggregated_results!B397,representatives_list!A:D,4,FALSE)</f>
        <v>e.8.1</v>
      </c>
    </row>
    <row r="398" spans="1:17" x14ac:dyDescent="0.25">
      <c r="A398" t="s">
        <v>19</v>
      </c>
      <c r="B398" t="s">
        <v>43</v>
      </c>
      <c r="C398">
        <v>2.2999999999999998</v>
      </c>
      <c r="D398">
        <v>5.8</v>
      </c>
      <c r="E398">
        <v>83</v>
      </c>
      <c r="F398">
        <v>417</v>
      </c>
      <c r="G398">
        <v>10</v>
      </c>
      <c r="I398" t="e">
        <f t="shared" si="6"/>
        <v>#N/A</v>
      </c>
      <c r="J398" t="str">
        <f>VLOOKUP(aggregated_results!A398,representatives_list!A:D,4,FALSE)</f>
        <v>N/A</v>
      </c>
      <c r="K398" t="str">
        <f>VLOOKUP(aggregated_results!A398,representatives_list!A:D,3,FALSE)</f>
        <v>PPi</v>
      </c>
      <c r="L398" t="str">
        <f>VLOOKUP(aggregated_results!A398,representatives_list!A:E,5,FALSE)</f>
        <v>N/A</v>
      </c>
      <c r="M398" t="str">
        <f>VLOOKUP(A398,representatives_list!A:B,2,FALSE)</f>
        <v>tRNA(Ile2) 2-agmatinylcytidine synthetase TiaS</v>
      </c>
      <c r="N398" t="str">
        <f>VLOOKUP(B398,representatives_list!A:B,2,FALSE)</f>
        <v>Nicotinate/Quinolinate PRTase C-terminal domain-like</v>
      </c>
      <c r="O398" t="str">
        <f>VLOOKUP(aggregated_results!B398,representatives_list!A:E,5,FALSE)</f>
        <v>N/A</v>
      </c>
      <c r="P398" t="str">
        <f>VLOOKUP(aggregated_results!B398,representatives_list!A:D,3,FALSE)</f>
        <v>Pi</v>
      </c>
      <c r="Q398" t="str">
        <f>VLOOKUP(aggregated_results!B398,representatives_list!A:D,4,FALSE)</f>
        <v>c.1.17</v>
      </c>
    </row>
    <row r="399" spans="1:17" x14ac:dyDescent="0.25">
      <c r="A399" t="s">
        <v>43</v>
      </c>
      <c r="B399" t="s">
        <v>51</v>
      </c>
      <c r="C399">
        <v>2.2999999999999998</v>
      </c>
      <c r="D399">
        <v>11.2</v>
      </c>
      <c r="E399">
        <v>95</v>
      </c>
      <c r="F399">
        <v>389</v>
      </c>
      <c r="G399">
        <v>6</v>
      </c>
      <c r="I399" t="str">
        <f t="shared" si="6"/>
        <v/>
      </c>
      <c r="J399" t="str">
        <f>VLOOKUP(aggregated_results!A399,representatives_list!A:D,4,FALSE)</f>
        <v>c.1.17</v>
      </c>
      <c r="K399" t="str">
        <f>VLOOKUP(aggregated_results!A399,representatives_list!A:D,3,FALSE)</f>
        <v>Pi</v>
      </c>
      <c r="L399" t="str">
        <f>VLOOKUP(aggregated_results!A399,representatives_list!A:E,5,FALSE)</f>
        <v>N/A</v>
      </c>
      <c r="M399" t="str">
        <f>VLOOKUP(A399,representatives_list!A:B,2,FALSE)</f>
        <v>Nicotinate/Quinolinate PRTase C-terminal domain-like</v>
      </c>
      <c r="N399" t="str">
        <f>VLOOKUP(B399,representatives_list!A:B,2,FALSE)</f>
        <v>DhaL-like</v>
      </c>
      <c r="O399" t="str">
        <f>VLOOKUP(aggregated_results!B399,representatives_list!A:E,5,FALSE)</f>
        <v>BG(–)</v>
      </c>
      <c r="P399" t="str">
        <f>VLOOKUP(aggregated_results!B399,representatives_list!A:D,3,FALSE)</f>
        <v>Pi</v>
      </c>
      <c r="Q399" t="str">
        <f>VLOOKUP(aggregated_results!B399,representatives_list!A:D,4,FALSE)</f>
        <v>a.208.1</v>
      </c>
    </row>
    <row r="400" spans="1:17" x14ac:dyDescent="0.25">
      <c r="A400" t="s">
        <v>67</v>
      </c>
      <c r="B400" t="s">
        <v>35</v>
      </c>
      <c r="C400">
        <v>2.2999999999999998</v>
      </c>
      <c r="D400">
        <v>11.2</v>
      </c>
      <c r="E400">
        <v>94</v>
      </c>
      <c r="F400">
        <v>255</v>
      </c>
      <c r="G400">
        <v>7</v>
      </c>
      <c r="I400" t="str">
        <f t="shared" si="6"/>
        <v/>
      </c>
      <c r="J400" t="str">
        <f>VLOOKUP(aggregated_results!A400,representatives_list!A:D,4,FALSE)</f>
        <v>c.100.1</v>
      </c>
      <c r="K400" t="str">
        <f>VLOOKUP(aggregated_results!A400,representatives_list!A:D,3,FALSE)</f>
        <v>PPi</v>
      </c>
      <c r="L400" t="str">
        <f>VLOOKUP(aggregated_results!A400,representatives_list!A:E,5,FALSE)</f>
        <v>AG</v>
      </c>
      <c r="M400" t="str">
        <f>VLOOKUP(A400,representatives_list!A:B,2,FALSE)</f>
        <v>Thiamin pyrophosphokinase, catalytic domain</v>
      </c>
      <c r="N400" t="str">
        <f>VLOOKUP(B400,representatives_list!A:B,2,FALSE)</f>
        <v>Phosphoglycerate kinase</v>
      </c>
      <c r="O400" t="str">
        <f>VLOOKUP(aggregated_results!B400,representatives_list!A:E,5,FALSE)</f>
        <v>ABG(–)</v>
      </c>
      <c r="P400" t="str">
        <f>VLOOKUP(aggregated_results!B400,representatives_list!A:D,3,FALSE)</f>
        <v>Pi</v>
      </c>
      <c r="Q400" t="str">
        <f>VLOOKUP(aggregated_results!B400,representatives_list!A:D,4,FALSE)</f>
        <v>c.86.1</v>
      </c>
    </row>
    <row r="401" spans="1:17" x14ac:dyDescent="0.25">
      <c r="A401" t="s">
        <v>67</v>
      </c>
      <c r="B401" t="s">
        <v>64</v>
      </c>
      <c r="C401">
        <v>2.2999999999999998</v>
      </c>
      <c r="D401">
        <v>3.4</v>
      </c>
      <c r="E401">
        <v>106</v>
      </c>
      <c r="F401">
        <v>255</v>
      </c>
      <c r="G401">
        <v>3</v>
      </c>
      <c r="I401" t="str">
        <f t="shared" si="6"/>
        <v/>
      </c>
      <c r="J401" t="str">
        <f>VLOOKUP(aggregated_results!A401,representatives_list!A:D,4,FALSE)</f>
        <v>c.100.1</v>
      </c>
      <c r="K401" t="str">
        <f>VLOOKUP(aggregated_results!A401,representatives_list!A:D,3,FALSE)</f>
        <v>PPi</v>
      </c>
      <c r="L401" t="str">
        <f>VLOOKUP(aggregated_results!A401,representatives_list!A:E,5,FALSE)</f>
        <v>AG</v>
      </c>
      <c r="M401" t="str">
        <f>VLOOKUP(A401,representatives_list!A:B,2,FALSE)</f>
        <v>Thiamin pyrophosphokinase, catalytic domain</v>
      </c>
      <c r="N401" t="str">
        <f>VLOOKUP(B401,representatives_list!A:B,2,FALSE)</f>
        <v>YgbK-like</v>
      </c>
      <c r="O401" t="str">
        <f>VLOOKUP(aggregated_results!B401,representatives_list!A:E,5,FALSE)</f>
        <v>N/A</v>
      </c>
      <c r="P401" t="str">
        <f>VLOOKUP(aggregated_results!B401,representatives_list!A:D,3,FALSE)</f>
        <v>Pi</v>
      </c>
      <c r="Q401" t="str">
        <f>VLOOKUP(aggregated_results!B401,representatives_list!A:D,4,FALSE)</f>
        <v>c.146.1</v>
      </c>
    </row>
    <row r="402" spans="1:17" x14ac:dyDescent="0.25">
      <c r="A402" t="s">
        <v>57</v>
      </c>
      <c r="B402" t="s">
        <v>30</v>
      </c>
      <c r="C402">
        <v>2.2999999999999998</v>
      </c>
      <c r="D402">
        <v>3.2</v>
      </c>
      <c r="E402">
        <v>89</v>
      </c>
      <c r="F402">
        <v>168</v>
      </c>
      <c r="G402">
        <v>11</v>
      </c>
      <c r="I402" t="str">
        <f t="shared" si="6"/>
        <v/>
      </c>
      <c r="J402" t="str">
        <f>VLOOKUP(aggregated_results!A402,representatives_list!A:D,4,FALSE)</f>
        <v>c.144.1</v>
      </c>
      <c r="K402" t="str">
        <f>VLOOKUP(aggregated_results!A402,representatives_list!A:D,3,FALSE)</f>
        <v>PPi</v>
      </c>
      <c r="L402" t="str">
        <f>VLOOKUP(aggregated_results!A402,representatives_list!A:E,5,FALSE)</f>
        <v>AB</v>
      </c>
      <c r="M402" t="str">
        <f>VLOOKUP(A402,representatives_list!A:B,2,FALSE)</f>
        <v>RibA-like</v>
      </c>
      <c r="N402" t="str">
        <f>VLOOKUP(B402,representatives_list!A:B,2,FALSE)</f>
        <v>Glycerate kinase I</v>
      </c>
      <c r="O402" t="str">
        <f>VLOOKUP(aggregated_results!B402,representatives_list!A:E,5,FALSE)</f>
        <v>N/A</v>
      </c>
      <c r="P402" t="str">
        <f>VLOOKUP(aggregated_results!B402,representatives_list!A:D,3,FALSE)</f>
        <v>Pi</v>
      </c>
      <c r="Q402" t="str">
        <f>VLOOKUP(aggregated_results!B402,representatives_list!A:D,4,FALSE)</f>
        <v>c.141.1</v>
      </c>
    </row>
    <row r="403" spans="1:17" x14ac:dyDescent="0.25">
      <c r="A403" t="s">
        <v>78</v>
      </c>
      <c r="B403" t="s">
        <v>56</v>
      </c>
      <c r="C403">
        <v>2.2999999999999998</v>
      </c>
      <c r="D403">
        <v>7</v>
      </c>
      <c r="E403">
        <v>78</v>
      </c>
      <c r="F403">
        <v>1094</v>
      </c>
      <c r="G403">
        <v>4</v>
      </c>
      <c r="I403" t="str">
        <f t="shared" si="6"/>
        <v/>
      </c>
      <c r="J403" t="str">
        <f>VLOOKUP(aggregated_results!A403,representatives_list!A:D,4,FALSE)</f>
        <v>e.29.1</v>
      </c>
      <c r="K403" t="str">
        <f>VLOOKUP(aggregated_results!A403,representatives_list!A:D,3,FALSE)</f>
        <v>PPi</v>
      </c>
      <c r="L403" t="str">
        <f>VLOOKUP(aggregated_results!A403,representatives_list!A:E,5,FALSE)</f>
        <v>AB(+)</v>
      </c>
      <c r="M403" t="str">
        <f>VLOOKUP(A403,representatives_list!A:B,2,FALSE)</f>
        <v>beta and beta-prime subunits of DNA dependent RNA-polymerase</v>
      </c>
      <c r="N403" t="str">
        <f>VLOOKUP(B403,representatives_list!A:B,2,FALSE)</f>
        <v>GroEL equatorial domain-like</v>
      </c>
      <c r="O403" t="str">
        <f>VLOOKUP(aggregated_results!B403,representatives_list!A:E,5,FALSE)</f>
        <v>ABG(+)</v>
      </c>
      <c r="P403" t="str">
        <f>VLOOKUP(aggregated_results!B403,representatives_list!A:D,3,FALSE)</f>
        <v>Pi</v>
      </c>
      <c r="Q403" t="str">
        <f>VLOOKUP(aggregated_results!B403,representatives_list!A:D,4,FALSE)</f>
        <v>a.129.1</v>
      </c>
    </row>
    <row r="404" spans="1:17" x14ac:dyDescent="0.25">
      <c r="A404" t="s">
        <v>50</v>
      </c>
      <c r="B404" t="s">
        <v>41</v>
      </c>
      <c r="C404">
        <v>2.2999999999999998</v>
      </c>
      <c r="D404">
        <v>3.1</v>
      </c>
      <c r="E404">
        <v>62</v>
      </c>
      <c r="F404">
        <v>150</v>
      </c>
      <c r="G404">
        <v>18</v>
      </c>
      <c r="I404" t="str">
        <f t="shared" si="6"/>
        <v/>
      </c>
      <c r="J404" t="str">
        <f>VLOOKUP(aggregated_results!A404,representatives_list!A:D,4,FALSE)</f>
        <v>d.58.6</v>
      </c>
      <c r="K404" t="str">
        <f>VLOOKUP(aggregated_results!A404,representatives_list!A:D,3,FALSE)</f>
        <v>Pi</v>
      </c>
      <c r="L404" t="str">
        <f>VLOOKUP(aggregated_results!A404,representatives_list!A:E,5,FALSE)</f>
        <v>ABG(+)</v>
      </c>
      <c r="M404" t="str">
        <f>VLOOKUP(A404,representatives_list!A:B,2,FALSE)</f>
        <v>Nucleoside diphosphate kinase, NDK</v>
      </c>
      <c r="N404" t="str">
        <f>VLOOKUP(B404,representatives_list!A:B,2,FALSE)</f>
        <v>Molybdenum cofactor biosynthesis proteins</v>
      </c>
      <c r="O404" t="str">
        <f>VLOOKUP(aggregated_results!B404,representatives_list!A:E,5,FALSE)</f>
        <v>ABG(–)</v>
      </c>
      <c r="P404" t="str">
        <f>VLOOKUP(aggregated_results!B404,representatives_list!A:D,3,FALSE)</f>
        <v>Pi</v>
      </c>
      <c r="Q404" t="str">
        <f>VLOOKUP(aggregated_results!B404,representatives_list!A:D,4,FALSE)</f>
        <v>c.57.1</v>
      </c>
    </row>
    <row r="405" spans="1:17" x14ac:dyDescent="0.25">
      <c r="A405" t="s">
        <v>29</v>
      </c>
      <c r="B405" t="s">
        <v>80</v>
      </c>
      <c r="C405">
        <v>2.2000000000000002</v>
      </c>
      <c r="D405">
        <v>3.5</v>
      </c>
      <c r="E405">
        <v>97</v>
      </c>
      <c r="F405">
        <v>309</v>
      </c>
      <c r="G405">
        <v>11</v>
      </c>
      <c r="I405" t="str">
        <f t="shared" si="6"/>
        <v/>
      </c>
      <c r="J405" t="str">
        <f>VLOOKUP(aggregated_results!A405,representatives_list!A:D,4,FALSE)</f>
        <v>c.61.1</v>
      </c>
      <c r="K405" t="str">
        <f>VLOOKUP(aggregated_results!A405,representatives_list!A:D,3,FALSE)</f>
        <v>PPi</v>
      </c>
      <c r="L405" t="str">
        <f>VLOOKUP(aggregated_results!A405,representatives_list!A:E,5,FALSE)</f>
        <v>ABG(+)</v>
      </c>
      <c r="M405" t="str">
        <f>VLOOKUP(A405,representatives_list!A:B,2,FALSE)</f>
        <v>PRTase-like</v>
      </c>
      <c r="N405" t="str">
        <f>VLOOKUP(B405,representatives_list!A:B,2,FALSE)</f>
        <v>NagB/RpiA/CoA transferase-like</v>
      </c>
      <c r="O405" t="str">
        <f>VLOOKUP(aggregated_results!B405,representatives_list!A:E,5,FALSE)</f>
        <v>N/A</v>
      </c>
      <c r="P405" t="str">
        <f>VLOOKUP(aggregated_results!B405,representatives_list!A:D,3,FALSE)</f>
        <v>Pi</v>
      </c>
      <c r="Q405" t="str">
        <f>VLOOKUP(aggregated_results!B405,representatives_list!A:D,4,FALSE)</f>
        <v>c.124.1</v>
      </c>
    </row>
    <row r="406" spans="1:17" x14ac:dyDescent="0.25">
      <c r="A406" t="s">
        <v>62</v>
      </c>
      <c r="B406" t="s">
        <v>55</v>
      </c>
      <c r="C406">
        <v>2.2000000000000002</v>
      </c>
      <c r="D406">
        <v>6.5</v>
      </c>
      <c r="E406">
        <v>98</v>
      </c>
      <c r="F406">
        <v>593</v>
      </c>
      <c r="G406">
        <v>6</v>
      </c>
      <c r="I406" t="e">
        <f t="shared" si="6"/>
        <v>#N/A</v>
      </c>
      <c r="J406" t="str">
        <f>VLOOKUP(aggregated_results!A406,representatives_list!A:D,4,FALSE)</f>
        <v>N/A</v>
      </c>
      <c r="K406" t="str">
        <f>VLOOKUP(aggregated_results!A406,representatives_list!A:D,3,FALSE)</f>
        <v>PPi</v>
      </c>
      <c r="L406" t="str">
        <f>VLOOKUP(aggregated_results!A406,representatives_list!A:E,5,FALSE)</f>
        <v>AB(+)</v>
      </c>
      <c r="M406" t="str">
        <f>VLOOKUP(A406,representatives_list!A:B,2,FALSE)</f>
        <v>Aerobactin siderophore biosynthesis, IucA/IucC-like</v>
      </c>
      <c r="N406" t="str">
        <f>VLOOKUP(B406,representatives_list!A:B,2,FALSE)</f>
        <v>DNA primase core</v>
      </c>
      <c r="O406" t="str">
        <f>VLOOKUP(aggregated_results!B406,representatives_list!A:E,5,FALSE)</f>
        <v>AB(–)</v>
      </c>
      <c r="P406" t="str">
        <f>VLOOKUP(aggregated_results!B406,representatives_list!A:D,3,FALSE)</f>
        <v>PPi</v>
      </c>
      <c r="Q406" t="str">
        <f>VLOOKUP(aggregated_results!B406,representatives_list!A:D,4,FALSE)</f>
        <v>e.13.1</v>
      </c>
    </row>
    <row r="407" spans="1:17" x14ac:dyDescent="0.25">
      <c r="A407" t="s">
        <v>70</v>
      </c>
      <c r="B407" t="s">
        <v>47</v>
      </c>
      <c r="C407">
        <v>2.2000000000000002</v>
      </c>
      <c r="D407">
        <v>4.5</v>
      </c>
      <c r="E407">
        <v>71</v>
      </c>
      <c r="F407">
        <v>393</v>
      </c>
      <c r="G407">
        <v>7</v>
      </c>
      <c r="I407" t="str">
        <f t="shared" si="6"/>
        <v/>
      </c>
      <c r="J407" t="str">
        <f>VLOOKUP(aggregated_results!A407,representatives_list!A:D,4,FALSE)</f>
        <v>d.130.1</v>
      </c>
      <c r="K407" t="str">
        <f>VLOOKUP(aggregated_results!A407,representatives_list!A:D,3,FALSE)</f>
        <v>PPPi</v>
      </c>
      <c r="L407" t="str">
        <f>VLOOKUP(aggregated_results!A407,representatives_list!A:E,5,FALSE)</f>
        <v>ABG(–)</v>
      </c>
      <c r="M407" t="str">
        <f>VLOOKUP(A407,representatives_list!A:B,2,FALSE)</f>
        <v>S-adenosylmethionine synthetase</v>
      </c>
      <c r="N407" t="str">
        <f>VLOOKUP(B407,representatives_list!A:B,2,FALSE)</f>
        <v>6-hydroxymethyl-7,8-dihydropterin pyrophosphokinase, HPPK</v>
      </c>
      <c r="O407" t="str">
        <f>VLOOKUP(aggregated_results!B407,representatives_list!A:E,5,FALSE)</f>
        <v>AB(+)</v>
      </c>
      <c r="P407" t="str">
        <f>VLOOKUP(aggregated_results!B407,representatives_list!A:D,3,FALSE)</f>
        <v>PPi</v>
      </c>
      <c r="Q407" t="str">
        <f>VLOOKUP(aggregated_results!B407,representatives_list!A:D,4,FALSE)</f>
        <v>d.58.30</v>
      </c>
    </row>
    <row r="408" spans="1:17" x14ac:dyDescent="0.25">
      <c r="A408" t="s">
        <v>77</v>
      </c>
      <c r="B408" t="s">
        <v>62</v>
      </c>
      <c r="C408">
        <v>2.2000000000000002</v>
      </c>
      <c r="D408">
        <v>5.5</v>
      </c>
      <c r="E408">
        <v>70</v>
      </c>
      <c r="F408">
        <v>329</v>
      </c>
      <c r="G408">
        <v>9</v>
      </c>
      <c r="I408" t="e">
        <f t="shared" si="6"/>
        <v>#N/A</v>
      </c>
      <c r="J408" t="str">
        <f>VLOOKUP(aggregated_results!A408,representatives_list!A:D,4,FALSE)</f>
        <v>d.218.1</v>
      </c>
      <c r="K408" t="str">
        <f>VLOOKUP(aggregated_results!A408,representatives_list!A:D,3,FALSE)</f>
        <v>PPi</v>
      </c>
      <c r="L408" t="str">
        <f>VLOOKUP(aggregated_results!A408,representatives_list!A:E,5,FALSE)</f>
        <v>ABG(–)</v>
      </c>
      <c r="M408" t="str">
        <f>VLOOKUP(A408,representatives_list!A:B,2,FALSE)</f>
        <v>Nucleotidyltransferase</v>
      </c>
      <c r="N408" t="str">
        <f>VLOOKUP(B408,representatives_list!A:B,2,FALSE)</f>
        <v>Aerobactin siderophore biosynthesis, IucA/IucC-like</v>
      </c>
      <c r="O408" t="str">
        <f>VLOOKUP(aggregated_results!B408,representatives_list!A:E,5,FALSE)</f>
        <v>AB(+)</v>
      </c>
      <c r="P408" t="str">
        <f>VLOOKUP(aggregated_results!B408,representatives_list!A:D,3,FALSE)</f>
        <v>PPi</v>
      </c>
      <c r="Q408" t="str">
        <f>VLOOKUP(aggregated_results!B408,representatives_list!A:D,4,FALSE)</f>
        <v>N/A</v>
      </c>
    </row>
    <row r="409" spans="1:17" x14ac:dyDescent="0.25">
      <c r="A409" t="s">
        <v>65</v>
      </c>
      <c r="B409" t="s">
        <v>82</v>
      </c>
      <c r="C409">
        <v>2.2000000000000002</v>
      </c>
      <c r="D409">
        <v>3.9</v>
      </c>
      <c r="E409">
        <v>71</v>
      </c>
      <c r="F409">
        <v>178</v>
      </c>
      <c r="G409">
        <v>10</v>
      </c>
      <c r="I409" t="e">
        <f t="shared" si="6"/>
        <v>#N/A</v>
      </c>
      <c r="J409" t="str">
        <f>VLOOKUP(aggregated_results!A409,representatives_list!A:D,4,FALSE)</f>
        <v>a.25.2</v>
      </c>
      <c r="K409" t="str">
        <f>VLOOKUP(aggregated_results!A409,representatives_list!A:D,3,FALSE)</f>
        <v>PPPi</v>
      </c>
      <c r="L409" t="str">
        <f>VLOOKUP(aggregated_results!A409,representatives_list!A:E,5,FALSE)</f>
        <v>ABG(+)</v>
      </c>
      <c r="M409" t="str">
        <f>VLOOKUP(A409,representatives_list!A:B,2,FALSE)</f>
        <v>Cobalamin adenosyltransferase-like</v>
      </c>
      <c r="N409" t="str">
        <f>VLOOKUP(B409,representatives_list!A:B,2,FALSE)</f>
        <v>RNA-dependent RNA polymerase, eukaryotic-type</v>
      </c>
      <c r="O409" t="str">
        <f>VLOOKUP(aggregated_results!B409,representatives_list!A:E,5,FALSE)</f>
        <v>ABG(–)</v>
      </c>
      <c r="P409" t="str">
        <f>VLOOKUP(aggregated_results!B409,representatives_list!A:D,3,FALSE)</f>
        <v>PPi</v>
      </c>
      <c r="Q409" t="str">
        <f>VLOOKUP(aggregated_results!B409,representatives_list!A:D,4,FALSE)</f>
        <v>N/A</v>
      </c>
    </row>
    <row r="410" spans="1:17" x14ac:dyDescent="0.25">
      <c r="A410" t="s">
        <v>81</v>
      </c>
      <c r="B410" t="s">
        <v>35</v>
      </c>
      <c r="C410">
        <v>2.2000000000000002</v>
      </c>
      <c r="D410">
        <v>3.8</v>
      </c>
      <c r="E410">
        <v>89</v>
      </c>
      <c r="F410">
        <v>277</v>
      </c>
      <c r="G410">
        <v>6</v>
      </c>
      <c r="I410" t="str">
        <f t="shared" si="6"/>
        <v/>
      </c>
      <c r="J410" t="str">
        <f>VLOOKUP(aggregated_results!A410,representatives_list!A:D,4,FALSE)</f>
        <v>c.68.1</v>
      </c>
      <c r="K410" t="str">
        <f>VLOOKUP(aggregated_results!A410,representatives_list!A:D,3,FALSE)</f>
        <v>PPi</v>
      </c>
      <c r="L410" t="str">
        <f>VLOOKUP(aggregated_results!A410,representatives_list!A:E,5,FALSE)</f>
        <v>ABG(+)</v>
      </c>
      <c r="M410" t="str">
        <f>VLOOKUP(A410,representatives_list!A:B,2,FALSE)</f>
        <v>Nucleotide-diphospho-sugar transferases</v>
      </c>
      <c r="N410" t="str">
        <f>VLOOKUP(B410,representatives_list!A:B,2,FALSE)</f>
        <v>Phosphoglycerate kinase</v>
      </c>
      <c r="O410" t="str">
        <f>VLOOKUP(aggregated_results!B410,representatives_list!A:E,5,FALSE)</f>
        <v>ABG(–)</v>
      </c>
      <c r="P410" t="str">
        <f>VLOOKUP(aggregated_results!B410,representatives_list!A:D,3,FALSE)</f>
        <v>Pi</v>
      </c>
      <c r="Q410" t="str">
        <f>VLOOKUP(aggregated_results!B410,representatives_list!A:D,4,FALSE)</f>
        <v>c.86.1</v>
      </c>
    </row>
    <row r="411" spans="1:17" x14ac:dyDescent="0.25">
      <c r="A411" t="s">
        <v>81</v>
      </c>
      <c r="B411" t="s">
        <v>22</v>
      </c>
      <c r="C411">
        <v>2.2000000000000002</v>
      </c>
      <c r="D411">
        <v>3.1</v>
      </c>
      <c r="E411">
        <v>81</v>
      </c>
      <c r="F411">
        <v>277</v>
      </c>
      <c r="G411">
        <v>6</v>
      </c>
      <c r="I411" t="str">
        <f t="shared" si="6"/>
        <v/>
      </c>
      <c r="J411" t="str">
        <f>VLOOKUP(aggregated_results!A411,representatives_list!A:D,4,FALSE)</f>
        <v>c.68.1</v>
      </c>
      <c r="K411" t="str">
        <f>VLOOKUP(aggregated_results!A411,representatives_list!A:D,3,FALSE)</f>
        <v>PPi</v>
      </c>
      <c r="L411" t="str">
        <f>VLOOKUP(aggregated_results!A411,representatives_list!A:E,5,FALSE)</f>
        <v>ABG(+)</v>
      </c>
      <c r="M411" t="str">
        <f>VLOOKUP(A411,representatives_list!A:B,2,FALSE)</f>
        <v>Nucleotide-diphospho-sugar transferases</v>
      </c>
      <c r="N411" t="str">
        <f>VLOOKUP(B411,representatives_list!A:B,2,FALSE)</f>
        <v>Actin-like ATPase domain</v>
      </c>
      <c r="O411" t="str">
        <f>VLOOKUP(aggregated_results!B411,representatives_list!A:E,5,FALSE)</f>
        <v>BG(+)</v>
      </c>
      <c r="P411" t="str">
        <f>VLOOKUP(aggregated_results!B411,representatives_list!A:D,3,FALSE)</f>
        <v>Pi</v>
      </c>
      <c r="Q411" t="str">
        <f>VLOOKUP(aggregated_results!B411,representatives_list!A:D,4,FALSE)</f>
        <v>c.55.1</v>
      </c>
    </row>
    <row r="412" spans="1:17" x14ac:dyDescent="0.25">
      <c r="A412" t="s">
        <v>88</v>
      </c>
      <c r="B412" t="s">
        <v>37</v>
      </c>
      <c r="C412">
        <v>2.2000000000000002</v>
      </c>
      <c r="D412">
        <v>7.9</v>
      </c>
      <c r="E412">
        <v>89</v>
      </c>
      <c r="F412">
        <v>666</v>
      </c>
      <c r="G412">
        <v>12</v>
      </c>
      <c r="I412" t="str">
        <f t="shared" si="6"/>
        <v/>
      </c>
      <c r="J412" t="str">
        <f>VLOOKUP(aggregated_results!A412,representatives_list!A:D,4,FALSE)</f>
        <v>b.1.5</v>
      </c>
      <c r="K412" t="str">
        <f>VLOOKUP(aggregated_results!A412,representatives_list!A:D,3,FALSE)</f>
        <v>Pi</v>
      </c>
      <c r="L412" t="str">
        <f>VLOOKUP(aggregated_results!A412,representatives_list!A:E,5,FALSE)</f>
        <v>N/A</v>
      </c>
      <c r="M412" t="str">
        <f>VLOOKUP(A412,representatives_list!A:B,2,FALSE)</f>
        <v>Transglutaminase, two C-terminal domains</v>
      </c>
      <c r="N412" t="str">
        <f>VLOOKUP(B412,representatives_list!A:B,2,FALSE)</f>
        <v>Phosphofructokinase</v>
      </c>
      <c r="O412" t="str">
        <f>VLOOKUP(aggregated_results!B412,representatives_list!A:E,5,FALSE)</f>
        <v>ABG(–)</v>
      </c>
      <c r="P412" t="str">
        <f>VLOOKUP(aggregated_results!B412,representatives_list!A:D,3,FALSE)</f>
        <v>Pi</v>
      </c>
      <c r="Q412" t="str">
        <f>VLOOKUP(aggregated_results!B412,representatives_list!A:D,4,FALSE)</f>
        <v>c.89.1</v>
      </c>
    </row>
    <row r="413" spans="1:17" x14ac:dyDescent="0.25">
      <c r="A413" t="s">
        <v>63</v>
      </c>
      <c r="B413" t="s">
        <v>43</v>
      </c>
      <c r="C413">
        <v>2.2000000000000002</v>
      </c>
      <c r="D413">
        <v>4.3</v>
      </c>
      <c r="E413">
        <v>88</v>
      </c>
      <c r="F413">
        <v>213</v>
      </c>
      <c r="G413">
        <v>11</v>
      </c>
      <c r="I413" t="str">
        <f t="shared" si="6"/>
        <v/>
      </c>
      <c r="J413" t="str">
        <f>VLOOKUP(aggregated_results!A413,representatives_list!A:D,4,FALSE)</f>
        <v>d.78.1</v>
      </c>
      <c r="K413" t="str">
        <f>VLOOKUP(aggregated_results!A413,representatives_list!A:D,3,FALSE)</f>
        <v>PPi</v>
      </c>
      <c r="L413" t="str">
        <f>VLOOKUP(aggregated_results!A413,representatives_list!A:E,5,FALSE)</f>
        <v>N/A</v>
      </c>
      <c r="M413" t="str">
        <f>VLOOKUP(A413,representatives_list!A:B,2,FALSE)</f>
        <v>RPB5-like RNA polymerase subunit</v>
      </c>
      <c r="N413" t="str">
        <f>VLOOKUP(B413,representatives_list!A:B,2,FALSE)</f>
        <v>Nicotinate/Quinolinate PRTase C-terminal domain-like</v>
      </c>
      <c r="O413" t="str">
        <f>VLOOKUP(aggregated_results!B413,representatives_list!A:E,5,FALSE)</f>
        <v>N/A</v>
      </c>
      <c r="P413" t="str">
        <f>VLOOKUP(aggregated_results!B413,representatives_list!A:D,3,FALSE)</f>
        <v>Pi</v>
      </c>
      <c r="Q413" t="str">
        <f>VLOOKUP(aggregated_results!B413,representatives_list!A:D,4,FALSE)</f>
        <v>c.1.17</v>
      </c>
    </row>
    <row r="414" spans="1:17" x14ac:dyDescent="0.25">
      <c r="A414" t="s">
        <v>33</v>
      </c>
      <c r="B414" t="s">
        <v>21</v>
      </c>
      <c r="C414">
        <v>2.2000000000000002</v>
      </c>
      <c r="D414">
        <v>5.3</v>
      </c>
      <c r="E414">
        <v>62</v>
      </c>
      <c r="F414">
        <v>530</v>
      </c>
      <c r="G414">
        <v>6</v>
      </c>
      <c r="I414" t="str">
        <f t="shared" si="6"/>
        <v/>
      </c>
      <c r="J414" t="str">
        <f>VLOOKUP(aggregated_results!A414,representatives_list!A:D,4,FALSE)</f>
        <v>e.23.1</v>
      </c>
      <c r="K414" t="str">
        <f>VLOOKUP(aggregated_results!A414,representatives_list!A:D,3,FALSE)</f>
        <v>PPi</v>
      </c>
      <c r="L414" t="str">
        <f>VLOOKUP(aggregated_results!A414,representatives_list!A:E,5,FALSE)</f>
        <v>BG(+)</v>
      </c>
      <c r="M414" t="str">
        <f>VLOOKUP(A414,representatives_list!A:B,2,FALSE)</f>
        <v>Acetyl-CoA synthetase-like</v>
      </c>
      <c r="N414" t="str">
        <f>VLOOKUP(B414,representatives_list!A:B,2,FALSE)</f>
        <v>YrdC/RibB</v>
      </c>
      <c r="O414" t="str">
        <f>VLOOKUP(aggregated_results!B414,representatives_list!A:E,5,FALSE)</f>
        <v>ABG(–)</v>
      </c>
      <c r="P414" t="str">
        <f>VLOOKUP(aggregated_results!B414,representatives_list!A:D,3,FALSE)</f>
        <v>PPi</v>
      </c>
      <c r="Q414" t="str">
        <f>VLOOKUP(aggregated_results!B414,representatives_list!A:D,4,FALSE)</f>
        <v>d.115.1</v>
      </c>
    </row>
    <row r="415" spans="1:17" x14ac:dyDescent="0.25">
      <c r="A415" t="s">
        <v>33</v>
      </c>
      <c r="B415" t="s">
        <v>26</v>
      </c>
      <c r="C415">
        <v>2.2000000000000002</v>
      </c>
      <c r="D415">
        <v>4.2</v>
      </c>
      <c r="E415">
        <v>59</v>
      </c>
      <c r="F415">
        <v>530</v>
      </c>
      <c r="G415">
        <v>14</v>
      </c>
      <c r="I415" t="str">
        <f t="shared" si="6"/>
        <v/>
      </c>
      <c r="J415" t="str">
        <f>VLOOKUP(aggregated_results!A415,representatives_list!A:D,4,FALSE)</f>
        <v>e.23.1</v>
      </c>
      <c r="K415" t="str">
        <f>VLOOKUP(aggregated_results!A415,representatives_list!A:D,3,FALSE)</f>
        <v>PPi</v>
      </c>
      <c r="L415" t="str">
        <f>VLOOKUP(aggregated_results!A415,representatives_list!A:E,5,FALSE)</f>
        <v>BG(+)</v>
      </c>
      <c r="M415" t="str">
        <f>VLOOKUP(A415,representatives_list!A:B,2,FALSE)</f>
        <v>Acetyl-CoA synthetase-like</v>
      </c>
      <c r="N415" t="str">
        <f>VLOOKUP(B415,representatives_list!A:B,2,FALSE)</f>
        <v>GlnB-like</v>
      </c>
      <c r="O415" t="str">
        <f>VLOOKUP(aggregated_results!B415,representatives_list!A:E,5,FALSE)</f>
        <v>ABG(–)</v>
      </c>
      <c r="P415" t="str">
        <f>VLOOKUP(aggregated_results!B415,representatives_list!A:D,3,FALSE)</f>
        <v>Pi</v>
      </c>
      <c r="Q415" t="str">
        <f>VLOOKUP(aggregated_results!B415,representatives_list!A:D,4,FALSE)</f>
        <v>d.58.5</v>
      </c>
    </row>
    <row r="416" spans="1:17" x14ac:dyDescent="0.25">
      <c r="A416" t="s">
        <v>38</v>
      </c>
      <c r="B416" t="s">
        <v>31</v>
      </c>
      <c r="C416">
        <v>2.2000000000000002</v>
      </c>
      <c r="D416">
        <v>3.9</v>
      </c>
      <c r="E416">
        <v>75</v>
      </c>
      <c r="F416">
        <v>349</v>
      </c>
      <c r="G416">
        <v>7</v>
      </c>
      <c r="I416" t="str">
        <f t="shared" si="6"/>
        <v/>
      </c>
      <c r="J416" t="str">
        <f>VLOOKUP(aggregated_results!A416,representatives_list!A:D,4,FALSE)</f>
        <v>d.320.1</v>
      </c>
      <c r="K416" t="str">
        <f>VLOOKUP(aggregated_results!A416,representatives_list!A:D,3,FALSE)</f>
        <v>PPi</v>
      </c>
      <c r="L416" t="str">
        <f>VLOOKUP(aggregated_results!A416,representatives_list!A:E,5,FALSE)</f>
        <v>ABG(–)</v>
      </c>
      <c r="M416" t="str">
        <f>VLOOKUP(A416,representatives_list!A:B,2,FALSE)</f>
        <v>YojJ-like</v>
      </c>
      <c r="N416" t="str">
        <f>VLOOKUP(B416,representatives_list!A:B,2,FALSE)</f>
        <v>GHMP Kinase, C-terminal domain</v>
      </c>
      <c r="O416" t="str">
        <f>VLOOKUP(aggregated_results!B416,representatives_list!A:E,5,FALSE)</f>
        <v>ABG(+)</v>
      </c>
      <c r="P416" t="str">
        <f>VLOOKUP(aggregated_results!B416,representatives_list!A:D,3,FALSE)</f>
        <v>Pi</v>
      </c>
      <c r="Q416" t="str">
        <f>VLOOKUP(aggregated_results!B416,representatives_list!A:D,4,FALSE)</f>
        <v>d.58.26</v>
      </c>
    </row>
    <row r="417" spans="1:17" x14ac:dyDescent="0.25">
      <c r="A417" t="s">
        <v>17</v>
      </c>
      <c r="B417" t="s">
        <v>41</v>
      </c>
      <c r="C417">
        <v>2.2000000000000002</v>
      </c>
      <c r="D417">
        <v>8.6</v>
      </c>
      <c r="E417">
        <v>84</v>
      </c>
      <c r="F417">
        <v>427</v>
      </c>
      <c r="G417">
        <v>10</v>
      </c>
      <c r="I417" t="str">
        <f t="shared" si="6"/>
        <v/>
      </c>
      <c r="J417" t="str">
        <f>VLOOKUP(aggregated_results!A417,representatives_list!A:D,4,FALSE)</f>
        <v>e.8.1</v>
      </c>
      <c r="K417" t="str">
        <f>VLOOKUP(aggregated_results!A417,representatives_list!A:D,3,FALSE)</f>
        <v>PPi</v>
      </c>
      <c r="L417" t="str">
        <f>VLOOKUP(aggregated_results!A417,representatives_list!A:E,5,FALSE)</f>
        <v>ABG(–)</v>
      </c>
      <c r="M417" t="str">
        <f>VLOOKUP(A417,representatives_list!A:B,2,FALSE)</f>
        <v>DNA/RNA polymerases</v>
      </c>
      <c r="N417" t="str">
        <f>VLOOKUP(B417,representatives_list!A:B,2,FALSE)</f>
        <v>Molybdenum cofactor biosynthesis proteins</v>
      </c>
      <c r="O417" t="str">
        <f>VLOOKUP(aggregated_results!B417,representatives_list!A:E,5,FALSE)</f>
        <v>ABG(–)</v>
      </c>
      <c r="P417" t="str">
        <f>VLOOKUP(aggregated_results!B417,representatives_list!A:D,3,FALSE)</f>
        <v>Pi</v>
      </c>
      <c r="Q417" t="str">
        <f>VLOOKUP(aggregated_results!B417,representatives_list!A:D,4,FALSE)</f>
        <v>c.57.1</v>
      </c>
    </row>
    <row r="418" spans="1:17" x14ac:dyDescent="0.25">
      <c r="A418" t="s">
        <v>91</v>
      </c>
      <c r="B418" t="s">
        <v>51</v>
      </c>
      <c r="C418">
        <v>2.2000000000000002</v>
      </c>
      <c r="D418">
        <v>4.0999999999999996</v>
      </c>
      <c r="E418">
        <v>84</v>
      </c>
      <c r="F418">
        <v>185</v>
      </c>
      <c r="G418">
        <v>8</v>
      </c>
      <c r="I418" t="str">
        <f t="shared" si="6"/>
        <v/>
      </c>
      <c r="J418" t="str">
        <f>VLOOKUP(aggregated_results!A418,representatives_list!A:D,4,FALSE)</f>
        <v>a.265.1</v>
      </c>
      <c r="K418" t="str">
        <f>VLOOKUP(aggregated_results!A418,representatives_list!A:D,3,FALSE)</f>
        <v>PPi</v>
      </c>
      <c r="L418" t="str">
        <f>VLOOKUP(aggregated_results!A418,representatives_list!A:E,5,FALSE)</f>
        <v>AB(–)</v>
      </c>
      <c r="M418" t="str">
        <f>VLOOKUP(A418,representatives_list!A:B,2,FALSE)</f>
        <v>Fic-like</v>
      </c>
      <c r="N418" t="str">
        <f>VLOOKUP(B418,representatives_list!A:B,2,FALSE)</f>
        <v>DhaL-like</v>
      </c>
      <c r="O418" t="str">
        <f>VLOOKUP(aggregated_results!B418,representatives_list!A:E,5,FALSE)</f>
        <v>BG(–)</v>
      </c>
      <c r="P418" t="str">
        <f>VLOOKUP(aggregated_results!B418,representatives_list!A:D,3,FALSE)</f>
        <v>Pi</v>
      </c>
      <c r="Q418" t="str">
        <f>VLOOKUP(aggregated_results!B418,representatives_list!A:D,4,FALSE)</f>
        <v>a.208.1</v>
      </c>
    </row>
    <row r="419" spans="1:17" x14ac:dyDescent="0.25">
      <c r="A419" t="s">
        <v>46</v>
      </c>
      <c r="B419" t="s">
        <v>37</v>
      </c>
      <c r="C419">
        <v>2.2000000000000002</v>
      </c>
      <c r="D419">
        <v>6.1</v>
      </c>
      <c r="E419">
        <v>116</v>
      </c>
      <c r="F419">
        <v>253</v>
      </c>
      <c r="G419">
        <v>9</v>
      </c>
      <c r="I419" t="e">
        <f t="shared" si="6"/>
        <v>#N/A</v>
      </c>
      <c r="J419" t="str">
        <f>VLOOKUP(aggregated_results!A419,representatives_list!A:D,4,FALSE)</f>
        <v>N/A</v>
      </c>
      <c r="K419" t="str">
        <f>VLOOKUP(aggregated_results!A419,representatives_list!A:D,3,FALSE)</f>
        <v>PPi</v>
      </c>
      <c r="L419" t="str">
        <f>VLOOKUP(aggregated_results!A419,representatives_list!A:E,5,FALSE)</f>
        <v>ABG(+)</v>
      </c>
      <c r="M419" t="str">
        <f>VLOOKUP(A419,representatives_list!A:B,2,FALSE)</f>
        <v>Phosphopantoate/pantothenate synthetase superfamily</v>
      </c>
      <c r="N419" t="str">
        <f>VLOOKUP(B419,representatives_list!A:B,2,FALSE)</f>
        <v>Phosphofructokinase</v>
      </c>
      <c r="O419" t="str">
        <f>VLOOKUP(aggregated_results!B419,representatives_list!A:E,5,FALSE)</f>
        <v>ABG(–)</v>
      </c>
      <c r="P419" t="str">
        <f>VLOOKUP(aggregated_results!B419,representatives_list!A:D,3,FALSE)</f>
        <v>Pi</v>
      </c>
      <c r="Q419" t="str">
        <f>VLOOKUP(aggregated_results!B419,representatives_list!A:D,4,FALSE)</f>
        <v>c.89.1</v>
      </c>
    </row>
    <row r="420" spans="1:17" x14ac:dyDescent="0.25">
      <c r="A420" t="s">
        <v>46</v>
      </c>
      <c r="B420" t="s">
        <v>30</v>
      </c>
      <c r="C420">
        <v>2.2000000000000002</v>
      </c>
      <c r="D420">
        <v>3.3</v>
      </c>
      <c r="E420">
        <v>99</v>
      </c>
      <c r="F420">
        <v>253</v>
      </c>
      <c r="G420">
        <v>8</v>
      </c>
      <c r="I420" t="e">
        <f t="shared" si="6"/>
        <v>#N/A</v>
      </c>
      <c r="J420" t="str">
        <f>VLOOKUP(aggregated_results!A420,representatives_list!A:D,4,FALSE)</f>
        <v>N/A</v>
      </c>
      <c r="K420" t="str">
        <f>VLOOKUP(aggregated_results!A420,representatives_list!A:D,3,FALSE)</f>
        <v>PPi</v>
      </c>
      <c r="L420" t="str">
        <f>VLOOKUP(aggregated_results!A420,representatives_list!A:E,5,FALSE)</f>
        <v>ABG(+)</v>
      </c>
      <c r="M420" t="str">
        <f>VLOOKUP(A420,representatives_list!A:B,2,FALSE)</f>
        <v>Phosphopantoate/pantothenate synthetase superfamily</v>
      </c>
      <c r="N420" t="str">
        <f>VLOOKUP(B420,representatives_list!A:B,2,FALSE)</f>
        <v>Glycerate kinase I</v>
      </c>
      <c r="O420" t="str">
        <f>VLOOKUP(aggregated_results!B420,representatives_list!A:E,5,FALSE)</f>
        <v>N/A</v>
      </c>
      <c r="P420" t="str">
        <f>VLOOKUP(aggregated_results!B420,representatives_list!A:D,3,FALSE)</f>
        <v>Pi</v>
      </c>
      <c r="Q420" t="str">
        <f>VLOOKUP(aggregated_results!B420,representatives_list!A:D,4,FALSE)</f>
        <v>c.141.1</v>
      </c>
    </row>
    <row r="421" spans="1:17" x14ac:dyDescent="0.25">
      <c r="A421" t="s">
        <v>71</v>
      </c>
      <c r="B421" t="s">
        <v>22</v>
      </c>
      <c r="C421">
        <v>2.2000000000000002</v>
      </c>
      <c r="D421">
        <v>10.4</v>
      </c>
      <c r="E421">
        <v>83</v>
      </c>
      <c r="F421">
        <v>336</v>
      </c>
      <c r="G421">
        <v>2</v>
      </c>
      <c r="I421" t="str">
        <f t="shared" si="6"/>
        <v/>
      </c>
      <c r="J421" t="str">
        <f>VLOOKUP(aggregated_results!A421,representatives_list!A:D,4,FALSE)</f>
        <v>d.68.2</v>
      </c>
      <c r="K421" t="str">
        <f>VLOOKUP(aggregated_results!A421,representatives_list!A:D,3,FALSE)</f>
        <v>PPi</v>
      </c>
      <c r="L421" t="str">
        <f>VLOOKUP(aggregated_results!A421,representatives_list!A:E,5,FALSE)</f>
        <v>ABG(–)</v>
      </c>
      <c r="M421" t="str">
        <f>VLOOKUP(A421,representatives_list!A:B,2,FALSE)</f>
        <v>EPT/RTPC-like</v>
      </c>
      <c r="N421" t="str">
        <f>VLOOKUP(B421,representatives_list!A:B,2,FALSE)</f>
        <v>Actin-like ATPase domain</v>
      </c>
      <c r="O421" t="str">
        <f>VLOOKUP(aggregated_results!B421,representatives_list!A:E,5,FALSE)</f>
        <v>BG(+)</v>
      </c>
      <c r="P421" t="str">
        <f>VLOOKUP(aggregated_results!B421,representatives_list!A:D,3,FALSE)</f>
        <v>Pi</v>
      </c>
      <c r="Q421" t="str">
        <f>VLOOKUP(aggregated_results!B421,representatives_list!A:D,4,FALSE)</f>
        <v>c.55.1</v>
      </c>
    </row>
    <row r="422" spans="1:17" x14ac:dyDescent="0.25">
      <c r="A422" t="s">
        <v>66</v>
      </c>
      <c r="B422" t="s">
        <v>24</v>
      </c>
      <c r="C422">
        <v>2.2000000000000002</v>
      </c>
      <c r="D422">
        <v>7</v>
      </c>
      <c r="E422">
        <v>69</v>
      </c>
      <c r="F422">
        <v>146</v>
      </c>
      <c r="G422">
        <v>7</v>
      </c>
      <c r="I422" t="str">
        <f t="shared" si="6"/>
        <v/>
      </c>
      <c r="J422" t="str">
        <f>VLOOKUP(aggregated_results!A422,representatives_list!A:D,4,FALSE)</f>
        <v>d.58.21</v>
      </c>
      <c r="K422" t="str">
        <f>VLOOKUP(aggregated_results!A422,representatives_list!A:D,3,FALSE)</f>
        <v>PPi</v>
      </c>
      <c r="L422" t="str">
        <f>VLOOKUP(aggregated_results!A422,representatives_list!A:E,5,FALSE)</f>
        <v>N/A</v>
      </c>
      <c r="M422" t="str">
        <f>VLOOKUP(A422,representatives_list!A:B,2,FALSE)</f>
        <v>Molybdenum cofactor biosynthesis protein C, MoaC</v>
      </c>
      <c r="N422" t="str">
        <f>VLOOKUP(B422,representatives_list!A:B,2,FALSE)</f>
        <v>Ribokinase-like</v>
      </c>
      <c r="O422" t="str">
        <f>VLOOKUP(aggregated_results!B422,representatives_list!A:E,5,FALSE)</f>
        <v>BG(–)</v>
      </c>
      <c r="P422" t="str">
        <f>VLOOKUP(aggregated_results!B422,representatives_list!A:D,3,FALSE)</f>
        <v>Pi</v>
      </c>
      <c r="Q422" t="str">
        <f>VLOOKUP(aggregated_results!B422,representatives_list!A:D,4,FALSE)</f>
        <v>c.72.1</v>
      </c>
    </row>
    <row r="423" spans="1:17" x14ac:dyDescent="0.25">
      <c r="A423" t="s">
        <v>20</v>
      </c>
      <c r="B423" t="s">
        <v>43</v>
      </c>
      <c r="C423">
        <v>2.2000000000000002</v>
      </c>
      <c r="D423">
        <v>15.4</v>
      </c>
      <c r="E423">
        <v>104</v>
      </c>
      <c r="F423">
        <v>994</v>
      </c>
      <c r="G423">
        <v>7</v>
      </c>
      <c r="I423" t="e">
        <f t="shared" si="6"/>
        <v>#N/A</v>
      </c>
      <c r="J423" t="str">
        <f>VLOOKUP(aggregated_results!A423,representatives_list!A:D,4,FALSE)</f>
        <v>N/A</v>
      </c>
      <c r="K423" t="str">
        <f>VLOOKUP(aggregated_results!A423,representatives_list!A:D,3,FALSE)</f>
        <v>PPi</v>
      </c>
      <c r="L423" t="str">
        <f>VLOOKUP(aggregated_results!A423,representatives_list!A:E,5,FALSE)</f>
        <v>ABG(–)</v>
      </c>
      <c r="M423" t="str">
        <f>VLOOKUP(A423,representatives_list!A:B,2,FALSE)</f>
        <v>Bacterial DNA polymerase III, alpha subunit, NTPase domain</v>
      </c>
      <c r="N423" t="str">
        <f>VLOOKUP(B423,representatives_list!A:B,2,FALSE)</f>
        <v>Nicotinate/Quinolinate PRTase C-terminal domain-like</v>
      </c>
      <c r="O423" t="str">
        <f>VLOOKUP(aggregated_results!B423,representatives_list!A:E,5,FALSE)</f>
        <v>N/A</v>
      </c>
      <c r="P423" t="str">
        <f>VLOOKUP(aggregated_results!B423,representatives_list!A:D,3,FALSE)</f>
        <v>Pi</v>
      </c>
      <c r="Q423" t="str">
        <f>VLOOKUP(aggregated_results!B423,representatives_list!A:D,4,FALSE)</f>
        <v>c.1.17</v>
      </c>
    </row>
    <row r="424" spans="1:17" x14ac:dyDescent="0.25">
      <c r="A424" t="s">
        <v>92</v>
      </c>
      <c r="B424" t="s">
        <v>20</v>
      </c>
      <c r="C424">
        <v>2.2000000000000002</v>
      </c>
      <c r="D424">
        <v>11.1</v>
      </c>
      <c r="E424">
        <v>130</v>
      </c>
      <c r="F424">
        <v>445</v>
      </c>
      <c r="G424">
        <v>10</v>
      </c>
      <c r="I424" t="e">
        <f t="shared" si="6"/>
        <v>#N/A</v>
      </c>
      <c r="J424" t="str">
        <f>VLOOKUP(aggregated_results!A424,representatives_list!A:D,4,FALSE)</f>
        <v>e.69.1</v>
      </c>
      <c r="K424" t="str">
        <f>VLOOKUP(aggregated_results!A424,representatives_list!A:D,3,FALSE)</f>
        <v>PPi</v>
      </c>
      <c r="L424" t="str">
        <f>VLOOKUP(aggregated_results!A424,representatives_list!A:E,5,FALSE)</f>
        <v>ABG(–)</v>
      </c>
      <c r="M424" t="str">
        <f>VLOOKUP(A424,representatives_list!A:B,2,FALSE)</f>
        <v>Poly(A) polymerase catalytic subunit-like</v>
      </c>
      <c r="N424" t="str">
        <f>VLOOKUP(B424,representatives_list!A:B,2,FALSE)</f>
        <v>Bacterial DNA polymerase III, alpha subunit, NTPase domain</v>
      </c>
      <c r="O424" t="str">
        <f>VLOOKUP(aggregated_results!B424,representatives_list!A:E,5,FALSE)</f>
        <v>ABG(–)</v>
      </c>
      <c r="P424" t="str">
        <f>VLOOKUP(aggregated_results!B424,representatives_list!A:D,3,FALSE)</f>
        <v>PPi</v>
      </c>
      <c r="Q424" t="str">
        <f>VLOOKUP(aggregated_results!B424,representatives_list!A:D,4,FALSE)</f>
        <v>N/A</v>
      </c>
    </row>
    <row r="425" spans="1:17" x14ac:dyDescent="0.25">
      <c r="A425" t="s">
        <v>35</v>
      </c>
      <c r="B425" t="s">
        <v>41</v>
      </c>
      <c r="C425">
        <v>2.2000000000000002</v>
      </c>
      <c r="D425">
        <v>6.8</v>
      </c>
      <c r="E425">
        <v>90</v>
      </c>
      <c r="F425">
        <v>405</v>
      </c>
      <c r="G425">
        <v>12</v>
      </c>
      <c r="I425" t="str">
        <f t="shared" si="6"/>
        <v/>
      </c>
      <c r="J425" t="str">
        <f>VLOOKUP(aggregated_results!A425,representatives_list!A:D,4,FALSE)</f>
        <v>c.86.1</v>
      </c>
      <c r="K425" t="str">
        <f>VLOOKUP(aggregated_results!A425,representatives_list!A:D,3,FALSE)</f>
        <v>Pi</v>
      </c>
      <c r="L425" t="str">
        <f>VLOOKUP(aggregated_results!A425,representatives_list!A:E,5,FALSE)</f>
        <v>ABG(–)</v>
      </c>
      <c r="M425" t="str">
        <f>VLOOKUP(A425,representatives_list!A:B,2,FALSE)</f>
        <v>Phosphoglycerate kinase</v>
      </c>
      <c r="N425" t="str">
        <f>VLOOKUP(B425,representatives_list!A:B,2,FALSE)</f>
        <v>Molybdenum cofactor biosynthesis proteins</v>
      </c>
      <c r="O425" t="str">
        <f>VLOOKUP(aggregated_results!B425,representatives_list!A:E,5,FALSE)</f>
        <v>ABG(–)</v>
      </c>
      <c r="P425" t="str">
        <f>VLOOKUP(aggregated_results!B425,representatives_list!A:D,3,FALSE)</f>
        <v>Pi</v>
      </c>
      <c r="Q425" t="str">
        <f>VLOOKUP(aggregated_results!B425,representatives_list!A:D,4,FALSE)</f>
        <v>c.57.1</v>
      </c>
    </row>
    <row r="426" spans="1:17" x14ac:dyDescent="0.25">
      <c r="A426" t="s">
        <v>67</v>
      </c>
      <c r="B426" t="s">
        <v>41</v>
      </c>
      <c r="C426">
        <v>2.2000000000000002</v>
      </c>
      <c r="D426">
        <v>3</v>
      </c>
      <c r="E426">
        <v>80</v>
      </c>
      <c r="F426">
        <v>255</v>
      </c>
      <c r="G426">
        <v>10</v>
      </c>
      <c r="I426" t="str">
        <f t="shared" si="6"/>
        <v/>
      </c>
      <c r="J426" t="str">
        <f>VLOOKUP(aggregated_results!A426,representatives_list!A:D,4,FALSE)</f>
        <v>c.100.1</v>
      </c>
      <c r="K426" t="str">
        <f>VLOOKUP(aggregated_results!A426,representatives_list!A:D,3,FALSE)</f>
        <v>PPi</v>
      </c>
      <c r="L426" t="str">
        <f>VLOOKUP(aggregated_results!A426,representatives_list!A:E,5,FALSE)</f>
        <v>AG</v>
      </c>
      <c r="M426" t="str">
        <f>VLOOKUP(A426,representatives_list!A:B,2,FALSE)</f>
        <v>Thiamin pyrophosphokinase, catalytic domain</v>
      </c>
      <c r="N426" t="str">
        <f>VLOOKUP(B426,representatives_list!A:B,2,FALSE)</f>
        <v>Molybdenum cofactor biosynthesis proteins</v>
      </c>
      <c r="O426" t="str">
        <f>VLOOKUP(aggregated_results!B426,representatives_list!A:E,5,FALSE)</f>
        <v>ABG(–)</v>
      </c>
      <c r="P426" t="str">
        <f>VLOOKUP(aggregated_results!B426,representatives_list!A:D,3,FALSE)</f>
        <v>Pi</v>
      </c>
      <c r="Q426" t="str">
        <f>VLOOKUP(aggregated_results!B426,representatives_list!A:D,4,FALSE)</f>
        <v>c.57.1</v>
      </c>
    </row>
    <row r="427" spans="1:17" x14ac:dyDescent="0.25">
      <c r="A427" t="s">
        <v>67</v>
      </c>
      <c r="B427" t="s">
        <v>48</v>
      </c>
      <c r="C427">
        <v>2.2000000000000002</v>
      </c>
      <c r="D427">
        <v>5.2</v>
      </c>
      <c r="E427">
        <v>118</v>
      </c>
      <c r="F427">
        <v>255</v>
      </c>
      <c r="G427">
        <v>6</v>
      </c>
      <c r="I427" t="str">
        <f t="shared" si="6"/>
        <v/>
      </c>
      <c r="J427" t="str">
        <f>VLOOKUP(aggregated_results!A427,representatives_list!A:D,4,FALSE)</f>
        <v>c.100.1</v>
      </c>
      <c r="K427" t="str">
        <f>VLOOKUP(aggregated_results!A427,representatives_list!A:D,3,FALSE)</f>
        <v>PPi</v>
      </c>
      <c r="L427" t="str">
        <f>VLOOKUP(aggregated_results!A427,representatives_list!A:E,5,FALSE)</f>
        <v>AG</v>
      </c>
      <c r="M427" t="str">
        <f>VLOOKUP(A427,representatives_list!A:B,2,FALSE)</f>
        <v>Thiamin pyrophosphokinase, catalytic domain</v>
      </c>
      <c r="N427" t="str">
        <f>VLOOKUP(B427,representatives_list!A:B,2,FALSE)</f>
        <v>Metal cation-transporting ATPase, ATP-binding domain N</v>
      </c>
      <c r="O427" t="str">
        <f>VLOOKUP(aggregated_results!B427,representatives_list!A:E,5,FALSE)</f>
        <v>BG(–)</v>
      </c>
      <c r="P427" t="str">
        <f>VLOOKUP(aggregated_results!B427,representatives_list!A:D,3,FALSE)</f>
        <v>Pi</v>
      </c>
      <c r="Q427" t="str">
        <f>VLOOKUP(aggregated_results!B427,representatives_list!A:D,4,FALSE)</f>
        <v>d.220.1</v>
      </c>
    </row>
    <row r="428" spans="1:17" x14ac:dyDescent="0.25">
      <c r="A428" t="s">
        <v>67</v>
      </c>
      <c r="B428" t="s">
        <v>37</v>
      </c>
      <c r="C428">
        <v>2.2000000000000002</v>
      </c>
      <c r="D428">
        <v>4.3</v>
      </c>
      <c r="E428">
        <v>103</v>
      </c>
      <c r="F428">
        <v>255</v>
      </c>
      <c r="G428">
        <v>8</v>
      </c>
      <c r="I428" t="str">
        <f t="shared" si="6"/>
        <v/>
      </c>
      <c r="J428" t="str">
        <f>VLOOKUP(aggregated_results!A428,representatives_list!A:D,4,FALSE)</f>
        <v>c.100.1</v>
      </c>
      <c r="K428" t="str">
        <f>VLOOKUP(aggregated_results!A428,representatives_list!A:D,3,FALSE)</f>
        <v>PPi</v>
      </c>
      <c r="L428" t="str">
        <f>VLOOKUP(aggregated_results!A428,representatives_list!A:E,5,FALSE)</f>
        <v>AG</v>
      </c>
      <c r="M428" t="str">
        <f>VLOOKUP(A428,representatives_list!A:B,2,FALSE)</f>
        <v>Thiamin pyrophosphokinase, catalytic domain</v>
      </c>
      <c r="N428" t="str">
        <f>VLOOKUP(B428,representatives_list!A:B,2,FALSE)</f>
        <v>Phosphofructokinase</v>
      </c>
      <c r="O428" t="str">
        <f>VLOOKUP(aggregated_results!B428,representatives_list!A:E,5,FALSE)</f>
        <v>ABG(–)</v>
      </c>
      <c r="P428" t="str">
        <f>VLOOKUP(aggregated_results!B428,representatives_list!A:D,3,FALSE)</f>
        <v>Pi</v>
      </c>
      <c r="Q428" t="str">
        <f>VLOOKUP(aggregated_results!B428,representatives_list!A:D,4,FALSE)</f>
        <v>c.89.1</v>
      </c>
    </row>
    <row r="429" spans="1:17" x14ac:dyDescent="0.25">
      <c r="A429" t="s">
        <v>64</v>
      </c>
      <c r="B429" t="s">
        <v>32</v>
      </c>
      <c r="C429">
        <v>2.2000000000000002</v>
      </c>
      <c r="D429">
        <v>3.9</v>
      </c>
      <c r="E429">
        <v>98</v>
      </c>
      <c r="F429">
        <v>412</v>
      </c>
      <c r="G429">
        <v>12</v>
      </c>
      <c r="I429" t="str">
        <f t="shared" si="6"/>
        <v/>
      </c>
      <c r="J429" t="str">
        <f>VLOOKUP(aggregated_results!A429,representatives_list!A:D,4,FALSE)</f>
        <v>c.146.1</v>
      </c>
      <c r="K429" t="str">
        <f>VLOOKUP(aggregated_results!A429,representatives_list!A:D,3,FALSE)</f>
        <v>Pi</v>
      </c>
      <c r="L429" t="str">
        <f>VLOOKUP(aggregated_results!A429,representatives_list!A:E,5,FALSE)</f>
        <v>N/A</v>
      </c>
      <c r="M429" t="str">
        <f>VLOOKUP(A429,representatives_list!A:B,2,FALSE)</f>
        <v>YgbK-like</v>
      </c>
      <c r="N429" t="str">
        <f>VLOOKUP(B429,representatives_list!A:B,2,FALSE)</f>
        <v>Phosphoenolpyruvate/pyruvate domain</v>
      </c>
      <c r="O429" t="str">
        <f>VLOOKUP(aggregated_results!B429,representatives_list!A:E,5,FALSE)</f>
        <v>ABG(–)</v>
      </c>
      <c r="P429" t="str">
        <f>VLOOKUP(aggregated_results!B429,representatives_list!A:D,3,FALSE)</f>
        <v>Pi</v>
      </c>
      <c r="Q429" t="str">
        <f>VLOOKUP(aggregated_results!B429,representatives_list!A:D,4,FALSE)</f>
        <v>c.1.12</v>
      </c>
    </row>
    <row r="430" spans="1:17" x14ac:dyDescent="0.25">
      <c r="A430" t="s">
        <v>87</v>
      </c>
      <c r="B430" t="s">
        <v>24</v>
      </c>
      <c r="C430">
        <v>2.2000000000000002</v>
      </c>
      <c r="D430">
        <v>4.7</v>
      </c>
      <c r="E430">
        <v>106</v>
      </c>
      <c r="F430">
        <v>687</v>
      </c>
      <c r="G430">
        <v>8</v>
      </c>
      <c r="I430" t="str">
        <f t="shared" si="6"/>
        <v/>
      </c>
      <c r="J430" t="str">
        <f>VLOOKUP(aggregated_results!A430,representatives_list!A:D,4,FALSE)</f>
        <v>d.136.1</v>
      </c>
      <c r="K430" t="str">
        <f>VLOOKUP(aggregated_results!A430,representatives_list!A:D,3,FALSE)</f>
        <v>Pi</v>
      </c>
      <c r="L430" t="str">
        <f>VLOOKUP(aggregated_results!A430,representatives_list!A:E,5,FALSE)</f>
        <v>N/A</v>
      </c>
      <c r="M430" t="str">
        <f>VLOOKUP(A430,representatives_list!A:B,2,FALSE)</f>
        <v>Phospholipase D/nuclease</v>
      </c>
      <c r="N430" t="str">
        <f>VLOOKUP(B430,representatives_list!A:B,2,FALSE)</f>
        <v>Ribokinase-like</v>
      </c>
      <c r="O430" t="str">
        <f>VLOOKUP(aggregated_results!B430,representatives_list!A:E,5,FALSE)</f>
        <v>BG(–)</v>
      </c>
      <c r="P430" t="str">
        <f>VLOOKUP(aggregated_results!B430,representatives_list!A:D,3,FALSE)</f>
        <v>Pi</v>
      </c>
      <c r="Q430" t="str">
        <f>VLOOKUP(aggregated_results!B430,representatives_list!A:D,4,FALSE)</f>
        <v>c.72.1</v>
      </c>
    </row>
    <row r="431" spans="1:17" x14ac:dyDescent="0.25">
      <c r="A431" t="s">
        <v>18</v>
      </c>
      <c r="B431" t="s">
        <v>48</v>
      </c>
      <c r="C431">
        <v>2.2000000000000002</v>
      </c>
      <c r="D431">
        <v>7</v>
      </c>
      <c r="E431">
        <v>72</v>
      </c>
      <c r="F431">
        <v>192</v>
      </c>
      <c r="G431">
        <v>11</v>
      </c>
      <c r="I431" t="str">
        <f t="shared" si="6"/>
        <v/>
      </c>
      <c r="J431" t="str">
        <f>VLOOKUP(aggregated_results!A431,representatives_list!A:D,4,FALSE)</f>
        <v>d.58.29</v>
      </c>
      <c r="K431" t="str">
        <f>VLOOKUP(aggregated_results!A431,representatives_list!A:D,3,FALSE)</f>
        <v>PPi</v>
      </c>
      <c r="L431" t="str">
        <f>VLOOKUP(aggregated_results!A431,representatives_list!A:E,5,FALSE)</f>
        <v>ABG(–)</v>
      </c>
      <c r="M431" t="str">
        <f>VLOOKUP(A431,representatives_list!A:B,2,FALSE)</f>
        <v>Nucleotide cyclase</v>
      </c>
      <c r="N431" t="str">
        <f>VLOOKUP(B431,representatives_list!A:B,2,FALSE)</f>
        <v>Metal cation-transporting ATPase, ATP-binding domain N</v>
      </c>
      <c r="O431" t="str">
        <f>VLOOKUP(aggregated_results!B431,representatives_list!A:E,5,FALSE)</f>
        <v>BG(–)</v>
      </c>
      <c r="P431" t="str">
        <f>VLOOKUP(aggregated_results!B431,representatives_list!A:D,3,FALSE)</f>
        <v>Pi</v>
      </c>
      <c r="Q431" t="str">
        <f>VLOOKUP(aggregated_results!B431,representatives_list!A:D,4,FALSE)</f>
        <v>d.220.1</v>
      </c>
    </row>
    <row r="432" spans="1:17" x14ac:dyDescent="0.25">
      <c r="A432" t="s">
        <v>51</v>
      </c>
      <c r="B432" t="s">
        <v>37</v>
      </c>
      <c r="C432">
        <v>2.2000000000000002</v>
      </c>
      <c r="D432">
        <v>9</v>
      </c>
      <c r="E432">
        <v>101</v>
      </c>
      <c r="F432">
        <v>537</v>
      </c>
      <c r="G432">
        <v>7</v>
      </c>
      <c r="I432" t="str">
        <f t="shared" si="6"/>
        <v/>
      </c>
      <c r="J432" t="str">
        <f>VLOOKUP(aggregated_results!A432,representatives_list!A:D,4,FALSE)</f>
        <v>a.208.1</v>
      </c>
      <c r="K432" t="str">
        <f>VLOOKUP(aggregated_results!A432,representatives_list!A:D,3,FALSE)</f>
        <v>Pi</v>
      </c>
      <c r="L432" t="str">
        <f>VLOOKUP(aggregated_results!A432,representatives_list!A:E,5,FALSE)</f>
        <v>BG(–)</v>
      </c>
      <c r="M432" t="str">
        <f>VLOOKUP(A432,representatives_list!A:B,2,FALSE)</f>
        <v>DhaL-like</v>
      </c>
      <c r="N432" t="str">
        <f>VLOOKUP(B432,representatives_list!A:B,2,FALSE)</f>
        <v>Phosphofructokinase</v>
      </c>
      <c r="O432" t="str">
        <f>VLOOKUP(aggregated_results!B432,representatives_list!A:E,5,FALSE)</f>
        <v>ABG(–)</v>
      </c>
      <c r="P432" t="str">
        <f>VLOOKUP(aggregated_results!B432,representatives_list!A:D,3,FALSE)</f>
        <v>Pi</v>
      </c>
      <c r="Q432" t="str">
        <f>VLOOKUP(aggregated_results!B432,representatives_list!A:D,4,FALSE)</f>
        <v>c.89.1</v>
      </c>
    </row>
    <row r="433" spans="1:17" x14ac:dyDescent="0.25">
      <c r="A433" t="s">
        <v>30</v>
      </c>
      <c r="B433" t="s">
        <v>80</v>
      </c>
      <c r="C433">
        <v>2.2000000000000002</v>
      </c>
      <c r="D433">
        <v>3.8</v>
      </c>
      <c r="E433">
        <v>89</v>
      </c>
      <c r="F433">
        <v>371</v>
      </c>
      <c r="G433">
        <v>11</v>
      </c>
      <c r="I433" t="str">
        <f t="shared" si="6"/>
        <v/>
      </c>
      <c r="J433" t="str">
        <f>VLOOKUP(aggregated_results!A433,representatives_list!A:D,4,FALSE)</f>
        <v>c.141.1</v>
      </c>
      <c r="K433" t="str">
        <f>VLOOKUP(aggregated_results!A433,representatives_list!A:D,3,FALSE)</f>
        <v>Pi</v>
      </c>
      <c r="L433" t="str">
        <f>VLOOKUP(aggregated_results!A433,representatives_list!A:E,5,FALSE)</f>
        <v>N/A</v>
      </c>
      <c r="M433" t="str">
        <f>VLOOKUP(A433,representatives_list!A:B,2,FALSE)</f>
        <v>Glycerate kinase I</v>
      </c>
      <c r="N433" t="str">
        <f>VLOOKUP(B433,representatives_list!A:B,2,FALSE)</f>
        <v>NagB/RpiA/CoA transferase-like</v>
      </c>
      <c r="O433" t="str">
        <f>VLOOKUP(aggregated_results!B433,representatives_list!A:E,5,FALSE)</f>
        <v>N/A</v>
      </c>
      <c r="P433" t="str">
        <f>VLOOKUP(aggregated_results!B433,representatives_list!A:D,3,FALSE)</f>
        <v>Pi</v>
      </c>
      <c r="Q433" t="str">
        <f>VLOOKUP(aggregated_results!B433,representatives_list!A:D,4,FALSE)</f>
        <v>c.124.1</v>
      </c>
    </row>
    <row r="434" spans="1:17" x14ac:dyDescent="0.25">
      <c r="A434" t="s">
        <v>39</v>
      </c>
      <c r="B434" t="s">
        <v>53</v>
      </c>
      <c r="C434">
        <v>2.2000000000000002</v>
      </c>
      <c r="D434">
        <v>8.4</v>
      </c>
      <c r="E434">
        <v>88</v>
      </c>
      <c r="F434">
        <v>485</v>
      </c>
      <c r="G434">
        <v>7</v>
      </c>
      <c r="I434" t="str">
        <f t="shared" si="6"/>
        <v/>
      </c>
      <c r="J434" t="str">
        <f>VLOOKUP(aggregated_results!A434,representatives_list!A:D,4,FALSE)</f>
        <v>e.41.1</v>
      </c>
      <c r="K434" t="str">
        <f>VLOOKUP(aggregated_results!A434,representatives_list!A:D,3,FALSE)</f>
        <v>PPi</v>
      </c>
      <c r="L434" t="str">
        <f>VLOOKUP(aggregated_results!A434,representatives_list!A:E,5,FALSE)</f>
        <v>AB(–)</v>
      </c>
      <c r="M434" t="str">
        <f>VLOOKUP(A434,representatives_list!A:B,2,FALSE)</f>
        <v>Adenylylcyclase toxin (the edema factor)</v>
      </c>
      <c r="N434" t="str">
        <f>VLOOKUP(B434,representatives_list!A:B,2,FALSE)</f>
        <v>Protein kinase-like (PK-like)</v>
      </c>
      <c r="O434" t="str">
        <f>VLOOKUP(aggregated_results!B434,representatives_list!A:E,5,FALSE)</f>
        <v>BG(–)</v>
      </c>
      <c r="P434" t="str">
        <f>VLOOKUP(aggregated_results!B434,representatives_list!A:D,3,FALSE)</f>
        <v>Pi</v>
      </c>
      <c r="Q434" t="str">
        <f>VLOOKUP(aggregated_results!B434,representatives_list!A:D,4,FALSE)</f>
        <v>d.144.1</v>
      </c>
    </row>
    <row r="435" spans="1:17" x14ac:dyDescent="0.25">
      <c r="A435" t="s">
        <v>39</v>
      </c>
      <c r="B435" t="s">
        <v>26</v>
      </c>
      <c r="C435">
        <v>2.2000000000000002</v>
      </c>
      <c r="D435">
        <v>4.0999999999999996</v>
      </c>
      <c r="E435">
        <v>79</v>
      </c>
      <c r="F435">
        <v>485</v>
      </c>
      <c r="G435">
        <v>14</v>
      </c>
      <c r="I435" t="str">
        <f t="shared" si="6"/>
        <v/>
      </c>
      <c r="J435" t="str">
        <f>VLOOKUP(aggregated_results!A435,representatives_list!A:D,4,FALSE)</f>
        <v>e.41.1</v>
      </c>
      <c r="K435" t="str">
        <f>VLOOKUP(aggregated_results!A435,representatives_list!A:D,3,FALSE)</f>
        <v>PPi</v>
      </c>
      <c r="L435" t="str">
        <f>VLOOKUP(aggregated_results!A435,representatives_list!A:E,5,FALSE)</f>
        <v>AB(–)</v>
      </c>
      <c r="M435" t="str">
        <f>VLOOKUP(A435,representatives_list!A:B,2,FALSE)</f>
        <v>Adenylylcyclase toxin (the edema factor)</v>
      </c>
      <c r="N435" t="str">
        <f>VLOOKUP(B435,representatives_list!A:B,2,FALSE)</f>
        <v>GlnB-like</v>
      </c>
      <c r="O435" t="str">
        <f>VLOOKUP(aggregated_results!B435,representatives_list!A:E,5,FALSE)</f>
        <v>ABG(–)</v>
      </c>
      <c r="P435" t="str">
        <f>VLOOKUP(aggregated_results!B435,representatives_list!A:D,3,FALSE)</f>
        <v>Pi</v>
      </c>
      <c r="Q435" t="str">
        <f>VLOOKUP(aggregated_results!B435,representatives_list!A:D,4,FALSE)</f>
        <v>d.58.5</v>
      </c>
    </row>
    <row r="436" spans="1:17" x14ac:dyDescent="0.25">
      <c r="A436" t="s">
        <v>75</v>
      </c>
      <c r="B436" t="s">
        <v>41</v>
      </c>
      <c r="C436">
        <v>2.1</v>
      </c>
      <c r="D436">
        <v>5.3</v>
      </c>
      <c r="E436">
        <v>103</v>
      </c>
      <c r="F436">
        <v>481</v>
      </c>
      <c r="G436">
        <v>7</v>
      </c>
      <c r="I436" t="e">
        <f t="shared" si="6"/>
        <v>#N/A</v>
      </c>
      <c r="J436" t="str">
        <f>VLOOKUP(aggregated_results!A436,representatives_list!A:D,4,FALSE)</f>
        <v>N/A</v>
      </c>
      <c r="K436" t="str">
        <f>VLOOKUP(aggregated_results!A436,representatives_list!A:D,3,FALSE)</f>
        <v>PPi</v>
      </c>
      <c r="L436" t="str">
        <f>VLOOKUP(aggregated_results!A436,representatives_list!A:E,5,FALSE)</f>
        <v>AB(+)</v>
      </c>
      <c r="M436" t="str">
        <f>VLOOKUP(A436,representatives_list!A:B,2,FALSE)</f>
        <v>tRNA-splicing ligase RtcB-like superfamily</v>
      </c>
      <c r="N436" t="str">
        <f>VLOOKUP(B436,representatives_list!A:B,2,FALSE)</f>
        <v>Molybdenum cofactor biosynthesis proteins</v>
      </c>
      <c r="O436" t="str">
        <f>VLOOKUP(aggregated_results!B436,representatives_list!A:E,5,FALSE)</f>
        <v>ABG(–)</v>
      </c>
      <c r="P436" t="str">
        <f>VLOOKUP(aggregated_results!B436,representatives_list!A:D,3,FALSE)</f>
        <v>Pi</v>
      </c>
      <c r="Q436" t="str">
        <f>VLOOKUP(aggregated_results!B436,representatives_list!A:D,4,FALSE)</f>
        <v>c.57.1</v>
      </c>
    </row>
    <row r="437" spans="1:17" x14ac:dyDescent="0.25">
      <c r="A437" t="s">
        <v>59</v>
      </c>
      <c r="B437" t="s">
        <v>26</v>
      </c>
      <c r="C437">
        <v>2.1</v>
      </c>
      <c r="D437">
        <v>3.6</v>
      </c>
      <c r="E437">
        <v>61</v>
      </c>
      <c r="F437">
        <v>176</v>
      </c>
      <c r="G437">
        <v>13</v>
      </c>
      <c r="I437" t="str">
        <f t="shared" si="6"/>
        <v/>
      </c>
      <c r="J437" t="str">
        <f>VLOOKUP(aggregated_results!A437,representatives_list!A:D,4,FALSE)</f>
        <v>d.63.1</v>
      </c>
      <c r="K437" t="str">
        <f>VLOOKUP(aggregated_results!A437,representatives_list!A:D,3,FALSE)</f>
        <v>Pi</v>
      </c>
      <c r="L437" t="str">
        <f>VLOOKUP(aggregated_results!A437,representatives_list!A:E,5,FALSE)</f>
        <v>ABG(+)</v>
      </c>
      <c r="M437" t="str">
        <f>VLOOKUP(A437,representatives_list!A:B,2,FALSE)</f>
        <v>CYTH-like phosphatases</v>
      </c>
      <c r="N437" t="str">
        <f>VLOOKUP(B437,representatives_list!A:B,2,FALSE)</f>
        <v>GlnB-like</v>
      </c>
      <c r="O437" t="str">
        <f>VLOOKUP(aggregated_results!B437,representatives_list!A:E,5,FALSE)</f>
        <v>ABG(–)</v>
      </c>
      <c r="P437" t="str">
        <f>VLOOKUP(aggregated_results!B437,representatives_list!A:D,3,FALSE)</f>
        <v>Pi</v>
      </c>
      <c r="Q437" t="str">
        <f>VLOOKUP(aggregated_results!B437,representatives_list!A:D,4,FALSE)</f>
        <v>d.58.5</v>
      </c>
    </row>
    <row r="438" spans="1:17" x14ac:dyDescent="0.25">
      <c r="A438" t="s">
        <v>93</v>
      </c>
      <c r="B438" t="s">
        <v>17</v>
      </c>
      <c r="C438">
        <v>2.1</v>
      </c>
      <c r="D438">
        <v>9.9</v>
      </c>
      <c r="E438">
        <v>80</v>
      </c>
      <c r="F438">
        <v>452</v>
      </c>
      <c r="G438">
        <v>6</v>
      </c>
      <c r="I438" t="str">
        <f t="shared" si="6"/>
        <v/>
      </c>
      <c r="J438" t="str">
        <f>VLOOKUP(aggregated_results!A438,representatives_list!A:D,4,FALSE)</f>
        <v>c.66.1</v>
      </c>
      <c r="K438" t="str">
        <f>VLOOKUP(aggregated_results!A438,representatives_list!A:D,3,FALSE)</f>
        <v>PPi</v>
      </c>
      <c r="L438" t="str">
        <f>VLOOKUP(aggregated_results!A438,representatives_list!A:E,5,FALSE)</f>
        <v>N/A</v>
      </c>
      <c r="M438" t="str">
        <f>VLOOKUP(A438,representatives_list!A:B,2,FALSE)</f>
        <v>S-adenosyl-L-methionine-dependent methyltransferases</v>
      </c>
      <c r="N438" t="str">
        <f>VLOOKUP(B438,representatives_list!A:B,2,FALSE)</f>
        <v>DNA/RNA polymerases</v>
      </c>
      <c r="O438" t="str">
        <f>VLOOKUP(aggregated_results!B438,representatives_list!A:E,5,FALSE)</f>
        <v>ABG(–)</v>
      </c>
      <c r="P438" t="str">
        <f>VLOOKUP(aggregated_results!B438,representatives_list!A:D,3,FALSE)</f>
        <v>PPi</v>
      </c>
      <c r="Q438" t="str">
        <f>VLOOKUP(aggregated_results!B438,representatives_list!A:D,4,FALSE)</f>
        <v>e.8.1</v>
      </c>
    </row>
    <row r="439" spans="1:17" x14ac:dyDescent="0.25">
      <c r="A439" t="s">
        <v>70</v>
      </c>
      <c r="B439" t="s">
        <v>51</v>
      </c>
      <c r="C439">
        <v>2.1</v>
      </c>
      <c r="D439">
        <v>4.5999999999999996</v>
      </c>
      <c r="E439">
        <v>70</v>
      </c>
      <c r="F439">
        <v>393</v>
      </c>
      <c r="G439">
        <v>3</v>
      </c>
      <c r="I439" t="str">
        <f t="shared" si="6"/>
        <v/>
      </c>
      <c r="J439" t="str">
        <f>VLOOKUP(aggregated_results!A439,representatives_list!A:D,4,FALSE)</f>
        <v>d.130.1</v>
      </c>
      <c r="K439" t="str">
        <f>VLOOKUP(aggregated_results!A439,representatives_list!A:D,3,FALSE)</f>
        <v>PPPi</v>
      </c>
      <c r="L439" t="str">
        <f>VLOOKUP(aggregated_results!A439,representatives_list!A:E,5,FALSE)</f>
        <v>ABG(–)</v>
      </c>
      <c r="M439" t="str">
        <f>VLOOKUP(A439,representatives_list!A:B,2,FALSE)</f>
        <v>S-adenosylmethionine synthetase</v>
      </c>
      <c r="N439" t="str">
        <f>VLOOKUP(B439,representatives_list!A:B,2,FALSE)</f>
        <v>DhaL-like</v>
      </c>
      <c r="O439" t="str">
        <f>VLOOKUP(aggregated_results!B439,representatives_list!A:E,5,FALSE)</f>
        <v>BG(–)</v>
      </c>
      <c r="P439" t="str">
        <f>VLOOKUP(aggregated_results!B439,representatives_list!A:D,3,FALSE)</f>
        <v>Pi</v>
      </c>
      <c r="Q439" t="str">
        <f>VLOOKUP(aggregated_results!B439,representatives_list!A:D,4,FALSE)</f>
        <v>a.208.1</v>
      </c>
    </row>
    <row r="440" spans="1:17" x14ac:dyDescent="0.25">
      <c r="A440" t="s">
        <v>85</v>
      </c>
      <c r="B440" t="s">
        <v>59</v>
      </c>
      <c r="C440">
        <v>2.1</v>
      </c>
      <c r="D440">
        <v>3.2</v>
      </c>
      <c r="E440">
        <v>71</v>
      </c>
      <c r="F440">
        <v>480</v>
      </c>
      <c r="G440">
        <v>7</v>
      </c>
      <c r="I440" t="str">
        <f t="shared" si="6"/>
        <v/>
      </c>
      <c r="J440" t="str">
        <f>VLOOKUP(aggregated_results!A440,representatives_list!A:D,4,FALSE)</f>
        <v>a.211.1</v>
      </c>
      <c r="K440" t="str">
        <f>VLOOKUP(aggregated_results!A440,representatives_list!A:D,3,FALSE)</f>
        <v>PPPi</v>
      </c>
      <c r="L440" t="str">
        <f>VLOOKUP(aggregated_results!A440,representatives_list!A:E,5,FALSE)</f>
        <v>BG(+)</v>
      </c>
      <c r="M440" t="str">
        <f>VLOOKUP(A440,representatives_list!A:B,2,FALSE)</f>
        <v>HD-domain/PDEase-like</v>
      </c>
      <c r="N440" t="str">
        <f>VLOOKUP(B440,representatives_list!A:B,2,FALSE)</f>
        <v>CYTH-like phosphatases</v>
      </c>
      <c r="O440" t="str">
        <f>VLOOKUP(aggregated_results!B440,representatives_list!A:E,5,FALSE)</f>
        <v>ABG(+)</v>
      </c>
      <c r="P440" t="str">
        <f>VLOOKUP(aggregated_results!B440,representatives_list!A:D,3,FALSE)</f>
        <v>Pi</v>
      </c>
      <c r="Q440" t="str">
        <f>VLOOKUP(aggregated_results!B440,representatives_list!A:D,4,FALSE)</f>
        <v>d.63.1</v>
      </c>
    </row>
    <row r="441" spans="1:17" x14ac:dyDescent="0.25">
      <c r="A441" t="s">
        <v>85</v>
      </c>
      <c r="B441" t="s">
        <v>70</v>
      </c>
      <c r="C441">
        <v>2.1</v>
      </c>
      <c r="D441">
        <v>11.4</v>
      </c>
      <c r="E441">
        <v>89</v>
      </c>
      <c r="F441">
        <v>480</v>
      </c>
      <c r="G441">
        <v>7</v>
      </c>
      <c r="I441" t="str">
        <f t="shared" si="6"/>
        <v/>
      </c>
      <c r="J441" t="str">
        <f>VLOOKUP(aggregated_results!A441,representatives_list!A:D,4,FALSE)</f>
        <v>a.211.1</v>
      </c>
      <c r="K441" t="str">
        <f>VLOOKUP(aggregated_results!A441,representatives_list!A:D,3,FALSE)</f>
        <v>PPPi</v>
      </c>
      <c r="L441" t="str">
        <f>VLOOKUP(aggregated_results!A441,representatives_list!A:E,5,FALSE)</f>
        <v>BG(+)</v>
      </c>
      <c r="M441" t="str">
        <f>VLOOKUP(A441,representatives_list!A:B,2,FALSE)</f>
        <v>HD-domain/PDEase-like</v>
      </c>
      <c r="N441" t="str">
        <f>VLOOKUP(B441,representatives_list!A:B,2,FALSE)</f>
        <v>S-adenosylmethionine synthetase</v>
      </c>
      <c r="O441" t="str">
        <f>VLOOKUP(aggregated_results!B441,representatives_list!A:E,5,FALSE)</f>
        <v>ABG(–)</v>
      </c>
      <c r="P441" t="str">
        <f>VLOOKUP(aggregated_results!B441,representatives_list!A:D,3,FALSE)</f>
        <v>PPPi</v>
      </c>
      <c r="Q441" t="str">
        <f>VLOOKUP(aggregated_results!B441,representatives_list!A:D,4,FALSE)</f>
        <v>d.130.1</v>
      </c>
    </row>
    <row r="442" spans="1:17" x14ac:dyDescent="0.25">
      <c r="A442" t="s">
        <v>49</v>
      </c>
      <c r="B442" t="s">
        <v>69</v>
      </c>
      <c r="C442">
        <v>2.1</v>
      </c>
      <c r="D442">
        <v>5.7</v>
      </c>
      <c r="E442">
        <v>55</v>
      </c>
      <c r="F442">
        <v>745</v>
      </c>
      <c r="G442">
        <v>4</v>
      </c>
      <c r="I442" t="e">
        <f t="shared" si="6"/>
        <v>#N/A</v>
      </c>
      <c r="J442" t="str">
        <f>VLOOKUP(aggregated_results!A442,representatives_list!A:D,4,FALSE)</f>
        <v>N/A</v>
      </c>
      <c r="K442" t="str">
        <f>VLOOKUP(aggregated_results!A442,representatives_list!A:D,3,FALSE)</f>
        <v>PPi</v>
      </c>
      <c r="L442" t="str">
        <f>VLOOKUP(aggregated_results!A442,representatives_list!A:E,5,FALSE)</f>
        <v>ABG(–)</v>
      </c>
      <c r="M442" t="str">
        <f>VLOOKUP(A442,representatives_list!A:B,2,FALSE)</f>
        <v>Influenza RNA-dependent RNA polymerase subunit PB1</v>
      </c>
      <c r="N442" t="str">
        <f>VLOOKUP(B442,representatives_list!A:B,2,FALSE)</f>
        <v>Mitochondrial carrier</v>
      </c>
      <c r="O442" t="str">
        <f>VLOOKUP(aggregated_results!B442,representatives_list!A:E,5,FALSE)</f>
        <v>AB(–)</v>
      </c>
      <c r="P442" t="str">
        <f>VLOOKUP(aggregated_results!B442,representatives_list!A:D,3,FALSE)</f>
        <v>PPi</v>
      </c>
      <c r="Q442" t="str">
        <f>VLOOKUP(aggregated_results!B442,representatives_list!A:D,4,FALSE)</f>
        <v>f.42.1</v>
      </c>
    </row>
    <row r="443" spans="1:17" x14ac:dyDescent="0.25">
      <c r="A443" t="s">
        <v>49</v>
      </c>
      <c r="B443" t="s">
        <v>56</v>
      </c>
      <c r="C443">
        <v>2.1</v>
      </c>
      <c r="D443">
        <v>8</v>
      </c>
      <c r="E443">
        <v>60</v>
      </c>
      <c r="F443">
        <v>745</v>
      </c>
      <c r="G443">
        <v>13</v>
      </c>
      <c r="I443" t="e">
        <f t="shared" si="6"/>
        <v>#N/A</v>
      </c>
      <c r="J443" t="str">
        <f>VLOOKUP(aggregated_results!A443,representatives_list!A:D,4,FALSE)</f>
        <v>N/A</v>
      </c>
      <c r="K443" t="str">
        <f>VLOOKUP(aggregated_results!A443,representatives_list!A:D,3,FALSE)</f>
        <v>PPi</v>
      </c>
      <c r="L443" t="str">
        <f>VLOOKUP(aggregated_results!A443,representatives_list!A:E,5,FALSE)</f>
        <v>ABG(–)</v>
      </c>
      <c r="M443" t="str">
        <f>VLOOKUP(A443,representatives_list!A:B,2,FALSE)</f>
        <v>Influenza RNA-dependent RNA polymerase subunit PB1</v>
      </c>
      <c r="N443" t="str">
        <f>VLOOKUP(B443,representatives_list!A:B,2,FALSE)</f>
        <v>GroEL equatorial domain-like</v>
      </c>
      <c r="O443" t="str">
        <f>VLOOKUP(aggregated_results!B443,representatives_list!A:E,5,FALSE)</f>
        <v>ABG(+)</v>
      </c>
      <c r="P443" t="str">
        <f>VLOOKUP(aggregated_results!B443,representatives_list!A:D,3,FALSE)</f>
        <v>Pi</v>
      </c>
      <c r="Q443" t="str">
        <f>VLOOKUP(aggregated_results!B443,representatives_list!A:D,4,FALSE)</f>
        <v>a.129.1</v>
      </c>
    </row>
    <row r="444" spans="1:17" x14ac:dyDescent="0.25">
      <c r="A444" t="s">
        <v>94</v>
      </c>
      <c r="B444" t="s">
        <v>26</v>
      </c>
      <c r="C444">
        <v>2.1</v>
      </c>
      <c r="D444">
        <v>3.7</v>
      </c>
      <c r="E444">
        <v>78</v>
      </c>
      <c r="F444">
        <v>384</v>
      </c>
      <c r="G444">
        <v>14</v>
      </c>
      <c r="I444" t="str">
        <f t="shared" si="6"/>
        <v/>
      </c>
      <c r="J444" t="str">
        <f>VLOOKUP(aggregated_results!A444,representatives_list!A:D,4,FALSE)</f>
        <v>d.264.1</v>
      </c>
      <c r="K444" t="str">
        <f>VLOOKUP(aggregated_results!A444,representatives_list!A:D,3,FALSE)</f>
        <v>PPi</v>
      </c>
      <c r="L444" t="str">
        <f>VLOOKUP(aggregated_results!A444,representatives_list!A:E,5,FALSE)</f>
        <v>ABG(–)</v>
      </c>
      <c r="M444" t="str">
        <f>VLOOKUP(A444,representatives_list!A:B,2,FALSE)</f>
        <v>Prim-pol domain</v>
      </c>
      <c r="N444" t="str">
        <f>VLOOKUP(B444,representatives_list!A:B,2,FALSE)</f>
        <v>GlnB-like</v>
      </c>
      <c r="O444" t="str">
        <f>VLOOKUP(aggregated_results!B444,representatives_list!A:E,5,FALSE)</f>
        <v>ABG(–)</v>
      </c>
      <c r="P444" t="str">
        <f>VLOOKUP(aggregated_results!B444,representatives_list!A:D,3,FALSE)</f>
        <v>Pi</v>
      </c>
      <c r="Q444" t="str">
        <f>VLOOKUP(aggregated_results!B444,representatives_list!A:D,4,FALSE)</f>
        <v>d.58.5</v>
      </c>
    </row>
    <row r="445" spans="1:17" x14ac:dyDescent="0.25">
      <c r="A445" t="s">
        <v>28</v>
      </c>
      <c r="B445" t="s">
        <v>21</v>
      </c>
      <c r="C445">
        <v>2.1</v>
      </c>
      <c r="D445">
        <v>4.7</v>
      </c>
      <c r="E445">
        <v>98</v>
      </c>
      <c r="F445">
        <v>301</v>
      </c>
      <c r="G445">
        <v>7</v>
      </c>
      <c r="I445" t="str">
        <f t="shared" si="6"/>
        <v/>
      </c>
      <c r="J445" t="str">
        <f>VLOOKUP(aggregated_results!A445,representatives_list!A:D,4,FALSE)</f>
        <v>c.111.1</v>
      </c>
      <c r="K445" t="str">
        <f>VLOOKUP(aggregated_results!A445,representatives_list!A:D,3,FALSE)</f>
        <v>PPi</v>
      </c>
      <c r="L445" t="str">
        <f>VLOOKUP(aggregated_results!A445,representatives_list!A:E,5,FALSE)</f>
        <v>ABG(+)</v>
      </c>
      <c r="M445" t="str">
        <f>VLOOKUP(A445,representatives_list!A:B,2,FALSE)</f>
        <v>Activating enzymes of the ubiquitin-like proteins</v>
      </c>
      <c r="N445" t="str">
        <f>VLOOKUP(B445,representatives_list!A:B,2,FALSE)</f>
        <v>YrdC/RibB</v>
      </c>
      <c r="O445" t="str">
        <f>VLOOKUP(aggregated_results!B445,representatives_list!A:E,5,FALSE)</f>
        <v>ABG(–)</v>
      </c>
      <c r="P445" t="str">
        <f>VLOOKUP(aggregated_results!B445,representatives_list!A:D,3,FALSE)</f>
        <v>PPi</v>
      </c>
      <c r="Q445" t="str">
        <f>VLOOKUP(aggregated_results!B445,representatives_list!A:D,4,FALSE)</f>
        <v>d.115.1</v>
      </c>
    </row>
    <row r="446" spans="1:17" x14ac:dyDescent="0.25">
      <c r="A446" t="s">
        <v>65</v>
      </c>
      <c r="B446" t="s">
        <v>56</v>
      </c>
      <c r="C446">
        <v>2.1</v>
      </c>
      <c r="D446">
        <v>11.8</v>
      </c>
      <c r="E446">
        <v>83</v>
      </c>
      <c r="F446">
        <v>178</v>
      </c>
      <c r="G446">
        <v>6</v>
      </c>
      <c r="I446" t="str">
        <f t="shared" si="6"/>
        <v/>
      </c>
      <c r="J446" t="str">
        <f>VLOOKUP(aggregated_results!A446,representatives_list!A:D,4,FALSE)</f>
        <v>a.25.2</v>
      </c>
      <c r="K446" t="str">
        <f>VLOOKUP(aggregated_results!A446,representatives_list!A:D,3,FALSE)</f>
        <v>PPPi</v>
      </c>
      <c r="L446" t="str">
        <f>VLOOKUP(aggregated_results!A446,representatives_list!A:E,5,FALSE)</f>
        <v>ABG(+)</v>
      </c>
      <c r="M446" t="str">
        <f>VLOOKUP(A446,representatives_list!A:B,2,FALSE)</f>
        <v>Cobalamin adenosyltransferase-like</v>
      </c>
      <c r="N446" t="str">
        <f>VLOOKUP(B446,representatives_list!A:B,2,FALSE)</f>
        <v>GroEL equatorial domain-like</v>
      </c>
      <c r="O446" t="str">
        <f>VLOOKUP(aggregated_results!B446,representatives_list!A:E,5,FALSE)</f>
        <v>ABG(+)</v>
      </c>
      <c r="P446" t="str">
        <f>VLOOKUP(aggregated_results!B446,representatives_list!A:D,3,FALSE)</f>
        <v>Pi</v>
      </c>
      <c r="Q446" t="str">
        <f>VLOOKUP(aggregated_results!B446,representatives_list!A:D,4,FALSE)</f>
        <v>a.129.1</v>
      </c>
    </row>
    <row r="447" spans="1:17" x14ac:dyDescent="0.25">
      <c r="A447" t="s">
        <v>63</v>
      </c>
      <c r="B447" t="s">
        <v>33</v>
      </c>
      <c r="C447">
        <v>2.1</v>
      </c>
      <c r="D447">
        <v>14.9</v>
      </c>
      <c r="E447">
        <v>86</v>
      </c>
      <c r="F447">
        <v>213</v>
      </c>
      <c r="G447">
        <v>8</v>
      </c>
      <c r="I447" t="str">
        <f t="shared" si="6"/>
        <v/>
      </c>
      <c r="J447" t="str">
        <f>VLOOKUP(aggregated_results!A447,representatives_list!A:D,4,FALSE)</f>
        <v>d.78.1</v>
      </c>
      <c r="K447" t="str">
        <f>VLOOKUP(aggregated_results!A447,representatives_list!A:D,3,FALSE)</f>
        <v>PPi</v>
      </c>
      <c r="L447" t="str">
        <f>VLOOKUP(aggregated_results!A447,representatives_list!A:E,5,FALSE)</f>
        <v>N/A</v>
      </c>
      <c r="M447" t="str">
        <f>VLOOKUP(A447,representatives_list!A:B,2,FALSE)</f>
        <v>RPB5-like RNA polymerase subunit</v>
      </c>
      <c r="N447" t="str">
        <f>VLOOKUP(B447,representatives_list!A:B,2,FALSE)</f>
        <v>Acetyl-CoA synthetase-like</v>
      </c>
      <c r="O447" t="str">
        <f>VLOOKUP(aggregated_results!B447,representatives_list!A:E,5,FALSE)</f>
        <v>BG(+)</v>
      </c>
      <c r="P447" t="str">
        <f>VLOOKUP(aggregated_results!B447,representatives_list!A:D,3,FALSE)</f>
        <v>PPi</v>
      </c>
      <c r="Q447" t="str">
        <f>VLOOKUP(aggregated_results!B447,representatives_list!A:D,4,FALSE)</f>
        <v>e.23.1</v>
      </c>
    </row>
    <row r="448" spans="1:17" x14ac:dyDescent="0.25">
      <c r="A448" t="s">
        <v>33</v>
      </c>
      <c r="B448" t="s">
        <v>31</v>
      </c>
      <c r="C448">
        <v>2.1</v>
      </c>
      <c r="D448">
        <v>17.399999999999999</v>
      </c>
      <c r="E448">
        <v>98</v>
      </c>
      <c r="F448">
        <v>530</v>
      </c>
      <c r="G448">
        <v>4</v>
      </c>
      <c r="I448" t="str">
        <f t="shared" si="6"/>
        <v/>
      </c>
      <c r="J448" t="str">
        <f>VLOOKUP(aggregated_results!A448,representatives_list!A:D,4,FALSE)</f>
        <v>e.23.1</v>
      </c>
      <c r="K448" t="str">
        <f>VLOOKUP(aggregated_results!A448,representatives_list!A:D,3,FALSE)</f>
        <v>PPi</v>
      </c>
      <c r="L448" t="str">
        <f>VLOOKUP(aggregated_results!A448,representatives_list!A:E,5,FALSE)</f>
        <v>BG(+)</v>
      </c>
      <c r="M448" t="str">
        <f>VLOOKUP(A448,representatives_list!A:B,2,FALSE)</f>
        <v>Acetyl-CoA synthetase-like</v>
      </c>
      <c r="N448" t="str">
        <f>VLOOKUP(B448,representatives_list!A:B,2,FALSE)</f>
        <v>GHMP Kinase, C-terminal domain</v>
      </c>
      <c r="O448" t="str">
        <f>VLOOKUP(aggregated_results!B448,representatives_list!A:E,5,FALSE)</f>
        <v>ABG(+)</v>
      </c>
      <c r="P448" t="str">
        <f>VLOOKUP(aggregated_results!B448,representatives_list!A:D,3,FALSE)</f>
        <v>Pi</v>
      </c>
      <c r="Q448" t="str">
        <f>VLOOKUP(aggregated_results!B448,representatives_list!A:D,4,FALSE)</f>
        <v>d.58.26</v>
      </c>
    </row>
    <row r="449" spans="1:17" x14ac:dyDescent="0.25">
      <c r="A449" t="s">
        <v>33</v>
      </c>
      <c r="B449" t="s">
        <v>43</v>
      </c>
      <c r="C449">
        <v>2.1</v>
      </c>
      <c r="D449">
        <v>5.4</v>
      </c>
      <c r="E449">
        <v>96</v>
      </c>
      <c r="F449">
        <v>530</v>
      </c>
      <c r="G449">
        <v>8</v>
      </c>
      <c r="I449" t="str">
        <f t="shared" si="6"/>
        <v/>
      </c>
      <c r="J449" t="str">
        <f>VLOOKUP(aggregated_results!A449,representatives_list!A:D,4,FALSE)</f>
        <v>e.23.1</v>
      </c>
      <c r="K449" t="str">
        <f>VLOOKUP(aggregated_results!A449,representatives_list!A:D,3,FALSE)</f>
        <v>PPi</v>
      </c>
      <c r="L449" t="str">
        <f>VLOOKUP(aggregated_results!A449,representatives_list!A:E,5,FALSE)</f>
        <v>BG(+)</v>
      </c>
      <c r="M449" t="str">
        <f>VLOOKUP(A449,representatives_list!A:B,2,FALSE)</f>
        <v>Acetyl-CoA synthetase-like</v>
      </c>
      <c r="N449" t="str">
        <f>VLOOKUP(B449,representatives_list!A:B,2,FALSE)</f>
        <v>Nicotinate/Quinolinate PRTase C-terminal domain-like</v>
      </c>
      <c r="O449" t="str">
        <f>VLOOKUP(aggregated_results!B449,representatives_list!A:E,5,FALSE)</f>
        <v>N/A</v>
      </c>
      <c r="P449" t="str">
        <f>VLOOKUP(aggregated_results!B449,representatives_list!A:D,3,FALSE)</f>
        <v>Pi</v>
      </c>
      <c r="Q449" t="str">
        <f>VLOOKUP(aggregated_results!B449,representatives_list!A:D,4,FALSE)</f>
        <v>c.1.17</v>
      </c>
    </row>
    <row r="450" spans="1:17" x14ac:dyDescent="0.25">
      <c r="A450" t="s">
        <v>58</v>
      </c>
      <c r="B450" t="s">
        <v>56</v>
      </c>
      <c r="C450">
        <v>2.1</v>
      </c>
      <c r="D450">
        <v>7.3</v>
      </c>
      <c r="E450">
        <v>68</v>
      </c>
      <c r="F450">
        <v>105</v>
      </c>
      <c r="G450">
        <v>6</v>
      </c>
      <c r="I450" t="str">
        <f t="shared" si="6"/>
        <v/>
      </c>
      <c r="J450" t="str">
        <f>VLOOKUP(aggregated_results!A450,representatives_list!A:D,4,FALSE)</f>
        <v>f.62.1</v>
      </c>
      <c r="K450" t="str">
        <f>VLOOKUP(aggregated_results!A450,representatives_list!A:D,3,FALSE)</f>
        <v>Pi</v>
      </c>
      <c r="L450" t="str">
        <f>VLOOKUP(aggregated_results!A450,representatives_list!A:E,5,FALSE)</f>
        <v>BG(–)</v>
      </c>
      <c r="M450" t="str">
        <f>VLOOKUP(A450,representatives_list!A:B,2,FALSE)</f>
        <v>Diacylglycerol kinase (DgkA)-like</v>
      </c>
      <c r="N450" t="str">
        <f>VLOOKUP(B450,representatives_list!A:B,2,FALSE)</f>
        <v>GroEL equatorial domain-like</v>
      </c>
      <c r="O450" t="str">
        <f>VLOOKUP(aggregated_results!B450,representatives_list!A:E,5,FALSE)</f>
        <v>ABG(+)</v>
      </c>
      <c r="P450" t="str">
        <f>VLOOKUP(aggregated_results!B450,representatives_list!A:D,3,FALSE)</f>
        <v>Pi</v>
      </c>
      <c r="Q450" t="str">
        <f>VLOOKUP(aggregated_results!B450,representatives_list!A:D,4,FALSE)</f>
        <v>a.129.1</v>
      </c>
    </row>
    <row r="451" spans="1:17" x14ac:dyDescent="0.25">
      <c r="A451" t="s">
        <v>60</v>
      </c>
      <c r="B451" t="s">
        <v>38</v>
      </c>
      <c r="C451">
        <v>2.1</v>
      </c>
      <c r="D451">
        <v>12.3</v>
      </c>
      <c r="E451">
        <v>104</v>
      </c>
      <c r="F451">
        <v>1095</v>
      </c>
      <c r="G451">
        <v>7</v>
      </c>
      <c r="I451" t="e">
        <f t="shared" ref="I451:I482" si="7">IF(_xlfn.TEXTBEFORE(J451,".",2,0,1)=_xlfn.TEXTBEFORE(Q451,".",2,0,1),"x","")</f>
        <v>#N/A</v>
      </c>
      <c r="J451" t="str">
        <f>VLOOKUP(aggregated_results!A451,representatives_list!A:D,4,FALSE)</f>
        <v>N/A</v>
      </c>
      <c r="K451" t="str">
        <f>VLOOKUP(aggregated_results!A451,representatives_list!A:D,3,FALSE)</f>
        <v>PPi</v>
      </c>
      <c r="L451" t="str">
        <f>VLOOKUP(aggregated_results!A451,representatives_list!A:E,5,FALSE)</f>
        <v>ABG(+)</v>
      </c>
      <c r="M451" t="str">
        <f>VLOOKUP(A451,representatives_list!A:B,2,FALSE)</f>
        <v>Virion DNA-directed RNA polymerase domain</v>
      </c>
      <c r="N451" t="str">
        <f>VLOOKUP(B451,representatives_list!A:B,2,FALSE)</f>
        <v>YojJ-like</v>
      </c>
      <c r="O451" t="str">
        <f>VLOOKUP(aggregated_results!B451,representatives_list!A:E,5,FALSE)</f>
        <v>ABG(–)</v>
      </c>
      <c r="P451" t="str">
        <f>VLOOKUP(aggregated_results!B451,representatives_list!A:D,3,FALSE)</f>
        <v>PPi</v>
      </c>
      <c r="Q451" t="str">
        <f>VLOOKUP(aggregated_results!B451,representatives_list!A:D,4,FALSE)</f>
        <v>d.320.1</v>
      </c>
    </row>
    <row r="452" spans="1:17" x14ac:dyDescent="0.25">
      <c r="A452" t="s">
        <v>47</v>
      </c>
      <c r="B452" t="s">
        <v>87</v>
      </c>
      <c r="C452">
        <v>2.1</v>
      </c>
      <c r="D452">
        <v>3.6</v>
      </c>
      <c r="E452">
        <v>75</v>
      </c>
      <c r="F452">
        <v>159</v>
      </c>
      <c r="G452">
        <v>11</v>
      </c>
      <c r="I452" t="str">
        <f t="shared" si="7"/>
        <v/>
      </c>
      <c r="J452" t="str">
        <f>VLOOKUP(aggregated_results!A452,representatives_list!A:D,4,FALSE)</f>
        <v>d.58.30</v>
      </c>
      <c r="K452" t="str">
        <f>VLOOKUP(aggregated_results!A452,representatives_list!A:D,3,FALSE)</f>
        <v>PPi</v>
      </c>
      <c r="L452" t="str">
        <f>VLOOKUP(aggregated_results!A452,representatives_list!A:E,5,FALSE)</f>
        <v>AB(+)</v>
      </c>
      <c r="M452" t="str">
        <f>VLOOKUP(A452,representatives_list!A:B,2,FALSE)</f>
        <v>6-hydroxymethyl-7,8-dihydropterin pyrophosphokinase, HPPK</v>
      </c>
      <c r="N452" t="str">
        <f>VLOOKUP(B452,representatives_list!A:B,2,FALSE)</f>
        <v>Phospholipase D/nuclease</v>
      </c>
      <c r="O452" t="str">
        <f>VLOOKUP(aggregated_results!B452,representatives_list!A:E,5,FALSE)</f>
        <v>N/A</v>
      </c>
      <c r="P452" t="str">
        <f>VLOOKUP(aggregated_results!B452,representatives_list!A:D,3,FALSE)</f>
        <v>Pi</v>
      </c>
      <c r="Q452" t="str">
        <f>VLOOKUP(aggregated_results!B452,representatives_list!A:D,4,FALSE)</f>
        <v>d.136.1</v>
      </c>
    </row>
    <row r="453" spans="1:17" x14ac:dyDescent="0.25">
      <c r="A453" t="s">
        <v>66</v>
      </c>
      <c r="B453" t="s">
        <v>68</v>
      </c>
      <c r="C453">
        <v>2.1</v>
      </c>
      <c r="D453">
        <v>6.9</v>
      </c>
      <c r="E453">
        <v>60</v>
      </c>
      <c r="F453">
        <v>146</v>
      </c>
      <c r="G453">
        <v>7</v>
      </c>
      <c r="I453" t="str">
        <f t="shared" si="7"/>
        <v/>
      </c>
      <c r="J453" t="str">
        <f>VLOOKUP(aggregated_results!A453,representatives_list!A:D,4,FALSE)</f>
        <v>d.58.21</v>
      </c>
      <c r="K453" t="str">
        <f>VLOOKUP(aggregated_results!A453,representatives_list!A:D,3,FALSE)</f>
        <v>PPi</v>
      </c>
      <c r="L453" t="str">
        <f>VLOOKUP(aggregated_results!A453,representatives_list!A:E,5,FALSE)</f>
        <v>N/A</v>
      </c>
      <c r="M453" t="str">
        <f>VLOOKUP(A453,representatives_list!A:B,2,FALSE)</f>
        <v>Molybdenum cofactor biosynthesis protein C, MoaC</v>
      </c>
      <c r="N453" t="str">
        <f>VLOOKUP(B453,representatives_list!A:B,2,FALSE)</f>
        <v>all-alpha NTP pyrophosphatases</v>
      </c>
      <c r="O453" t="str">
        <f>VLOOKUP(aggregated_results!B453,representatives_list!A:E,5,FALSE)</f>
        <v>ABG(+)</v>
      </c>
      <c r="P453" t="str">
        <f>VLOOKUP(aggregated_results!B453,representatives_list!A:D,3,FALSE)</f>
        <v>PPi</v>
      </c>
      <c r="Q453" t="str">
        <f>VLOOKUP(aggregated_results!B453,representatives_list!A:D,4,FALSE)</f>
        <v>a.204.1</v>
      </c>
    </row>
    <row r="454" spans="1:17" x14ac:dyDescent="0.25">
      <c r="A454" t="s">
        <v>66</v>
      </c>
      <c r="B454" t="s">
        <v>43</v>
      </c>
      <c r="C454">
        <v>2.1</v>
      </c>
      <c r="D454">
        <v>3.8</v>
      </c>
      <c r="E454">
        <v>87</v>
      </c>
      <c r="F454">
        <v>146</v>
      </c>
      <c r="G454">
        <v>8</v>
      </c>
      <c r="I454" t="str">
        <f t="shared" si="7"/>
        <v/>
      </c>
      <c r="J454" t="str">
        <f>VLOOKUP(aggregated_results!A454,representatives_list!A:D,4,FALSE)</f>
        <v>d.58.21</v>
      </c>
      <c r="K454" t="str">
        <f>VLOOKUP(aggregated_results!A454,representatives_list!A:D,3,FALSE)</f>
        <v>PPi</v>
      </c>
      <c r="L454" t="str">
        <f>VLOOKUP(aggregated_results!A454,representatives_list!A:E,5,FALSE)</f>
        <v>N/A</v>
      </c>
      <c r="M454" t="str">
        <f>VLOOKUP(A454,representatives_list!A:B,2,FALSE)</f>
        <v>Molybdenum cofactor biosynthesis protein C, MoaC</v>
      </c>
      <c r="N454" t="str">
        <f>VLOOKUP(B454,representatives_list!A:B,2,FALSE)</f>
        <v>Nicotinate/Quinolinate PRTase C-terminal domain-like</v>
      </c>
      <c r="O454" t="str">
        <f>VLOOKUP(aggregated_results!B454,representatives_list!A:E,5,FALSE)</f>
        <v>N/A</v>
      </c>
      <c r="P454" t="str">
        <f>VLOOKUP(aggregated_results!B454,representatives_list!A:D,3,FALSE)</f>
        <v>Pi</v>
      </c>
      <c r="Q454" t="str">
        <f>VLOOKUP(aggregated_results!B454,representatives_list!A:D,4,FALSE)</f>
        <v>c.1.17</v>
      </c>
    </row>
    <row r="455" spans="1:17" x14ac:dyDescent="0.25">
      <c r="A455" t="s">
        <v>20</v>
      </c>
      <c r="B455" t="s">
        <v>17</v>
      </c>
      <c r="C455">
        <v>2.1</v>
      </c>
      <c r="D455">
        <v>6</v>
      </c>
      <c r="E455">
        <v>92</v>
      </c>
      <c r="F455">
        <v>994</v>
      </c>
      <c r="G455">
        <v>14</v>
      </c>
      <c r="I455" t="e">
        <f t="shared" si="7"/>
        <v>#N/A</v>
      </c>
      <c r="J455" t="str">
        <f>VLOOKUP(aggregated_results!A455,representatives_list!A:D,4,FALSE)</f>
        <v>N/A</v>
      </c>
      <c r="K455" t="str">
        <f>VLOOKUP(aggregated_results!A455,representatives_list!A:D,3,FALSE)</f>
        <v>PPi</v>
      </c>
      <c r="L455" t="str">
        <f>VLOOKUP(aggregated_results!A455,representatives_list!A:E,5,FALSE)</f>
        <v>ABG(–)</v>
      </c>
      <c r="M455" t="str">
        <f>VLOOKUP(A455,representatives_list!A:B,2,FALSE)</f>
        <v>Bacterial DNA polymerase III, alpha subunit, NTPase domain</v>
      </c>
      <c r="N455" t="str">
        <f>VLOOKUP(B455,representatives_list!A:B,2,FALSE)</f>
        <v>DNA/RNA polymerases</v>
      </c>
      <c r="O455" t="str">
        <f>VLOOKUP(aggregated_results!B455,representatives_list!A:E,5,FALSE)</f>
        <v>ABG(–)</v>
      </c>
      <c r="P455" t="str">
        <f>VLOOKUP(aggregated_results!B455,representatives_list!A:D,3,FALSE)</f>
        <v>PPi</v>
      </c>
      <c r="Q455" t="str">
        <f>VLOOKUP(aggregated_results!B455,representatives_list!A:D,4,FALSE)</f>
        <v>e.8.1</v>
      </c>
    </row>
    <row r="456" spans="1:17" x14ac:dyDescent="0.25">
      <c r="A456" t="s">
        <v>25</v>
      </c>
      <c r="B456" t="s">
        <v>37</v>
      </c>
      <c r="C456">
        <v>2.1</v>
      </c>
      <c r="D456">
        <v>6.8</v>
      </c>
      <c r="E456">
        <v>111</v>
      </c>
      <c r="F456">
        <v>469</v>
      </c>
      <c r="G456">
        <v>12</v>
      </c>
      <c r="I456" t="str">
        <f t="shared" si="7"/>
        <v/>
      </c>
      <c r="J456" t="str">
        <f>VLOOKUP(aggregated_results!A456,representatives_list!A:D,4,FALSE)</f>
        <v>c.73.1</v>
      </c>
      <c r="K456" t="str">
        <f>VLOOKUP(aggregated_results!A456,representatives_list!A:D,3,FALSE)</f>
        <v>Pi</v>
      </c>
      <c r="L456" t="str">
        <f>VLOOKUP(aggregated_results!A456,representatives_list!A:E,5,FALSE)</f>
        <v>ABG(+)</v>
      </c>
      <c r="M456" t="str">
        <f>VLOOKUP(A456,representatives_list!A:B,2,FALSE)</f>
        <v>Carbamate kinase-like</v>
      </c>
      <c r="N456" t="str">
        <f>VLOOKUP(B456,representatives_list!A:B,2,FALSE)</f>
        <v>Phosphofructokinase</v>
      </c>
      <c r="O456" t="str">
        <f>VLOOKUP(aggregated_results!B456,representatives_list!A:E,5,FALSE)</f>
        <v>ABG(–)</v>
      </c>
      <c r="P456" t="str">
        <f>VLOOKUP(aggregated_results!B456,representatives_list!A:D,3,FALSE)</f>
        <v>Pi</v>
      </c>
      <c r="Q456" t="str">
        <f>VLOOKUP(aggregated_results!B456,representatives_list!A:D,4,FALSE)</f>
        <v>c.89.1</v>
      </c>
    </row>
    <row r="457" spans="1:17" x14ac:dyDescent="0.25">
      <c r="A457" t="s">
        <v>43</v>
      </c>
      <c r="B457" t="s">
        <v>22</v>
      </c>
      <c r="C457">
        <v>2.1</v>
      </c>
      <c r="D457">
        <v>8</v>
      </c>
      <c r="E457">
        <v>82</v>
      </c>
      <c r="F457">
        <v>389</v>
      </c>
      <c r="G457">
        <v>7</v>
      </c>
      <c r="I457" t="str">
        <f t="shared" si="7"/>
        <v/>
      </c>
      <c r="J457" t="str">
        <f>VLOOKUP(aggregated_results!A457,representatives_list!A:D,4,FALSE)</f>
        <v>c.1.17</v>
      </c>
      <c r="K457" t="str">
        <f>VLOOKUP(aggregated_results!A457,representatives_list!A:D,3,FALSE)</f>
        <v>Pi</v>
      </c>
      <c r="L457" t="str">
        <f>VLOOKUP(aggregated_results!A457,representatives_list!A:E,5,FALSE)</f>
        <v>N/A</v>
      </c>
      <c r="M457" t="str">
        <f>VLOOKUP(A457,representatives_list!A:B,2,FALSE)</f>
        <v>Nicotinate/Quinolinate PRTase C-terminal domain-like</v>
      </c>
      <c r="N457" t="str">
        <f>VLOOKUP(B457,representatives_list!A:B,2,FALSE)</f>
        <v>Actin-like ATPase domain</v>
      </c>
      <c r="O457" t="str">
        <f>VLOOKUP(aggregated_results!B457,representatives_list!A:E,5,FALSE)</f>
        <v>BG(+)</v>
      </c>
      <c r="P457" t="str">
        <f>VLOOKUP(aggregated_results!B457,representatives_list!A:D,3,FALSE)</f>
        <v>Pi</v>
      </c>
      <c r="Q457" t="str">
        <f>VLOOKUP(aggregated_results!B457,representatives_list!A:D,4,FALSE)</f>
        <v>c.55.1</v>
      </c>
    </row>
    <row r="458" spans="1:17" x14ac:dyDescent="0.25">
      <c r="A458" t="s">
        <v>67</v>
      </c>
      <c r="B458" t="s">
        <v>55</v>
      </c>
      <c r="C458">
        <v>2.1</v>
      </c>
      <c r="D458">
        <v>4.3</v>
      </c>
      <c r="E458">
        <v>92</v>
      </c>
      <c r="F458">
        <v>255</v>
      </c>
      <c r="G458">
        <v>12</v>
      </c>
      <c r="I458" t="str">
        <f t="shared" si="7"/>
        <v/>
      </c>
      <c r="J458" t="str">
        <f>VLOOKUP(aggregated_results!A458,representatives_list!A:D,4,FALSE)</f>
        <v>c.100.1</v>
      </c>
      <c r="K458" t="str">
        <f>VLOOKUP(aggregated_results!A458,representatives_list!A:D,3,FALSE)</f>
        <v>PPi</v>
      </c>
      <c r="L458" t="str">
        <f>VLOOKUP(aggregated_results!A458,representatives_list!A:E,5,FALSE)</f>
        <v>AG</v>
      </c>
      <c r="M458" t="str">
        <f>VLOOKUP(A458,representatives_list!A:B,2,FALSE)</f>
        <v>Thiamin pyrophosphokinase, catalytic domain</v>
      </c>
      <c r="N458" t="str">
        <f>VLOOKUP(B458,representatives_list!A:B,2,FALSE)</f>
        <v>DNA primase core</v>
      </c>
      <c r="O458" t="str">
        <f>VLOOKUP(aggregated_results!B458,representatives_list!A:E,5,FALSE)</f>
        <v>AB(–)</v>
      </c>
      <c r="P458" t="str">
        <f>VLOOKUP(aggregated_results!B458,representatives_list!A:D,3,FALSE)</f>
        <v>PPi</v>
      </c>
      <c r="Q458" t="str">
        <f>VLOOKUP(aggregated_results!B458,representatives_list!A:D,4,FALSE)</f>
        <v>e.13.1</v>
      </c>
    </row>
    <row r="459" spans="1:17" x14ac:dyDescent="0.25">
      <c r="A459" t="s">
        <v>67</v>
      </c>
      <c r="B459" t="s">
        <v>22</v>
      </c>
      <c r="C459">
        <v>2.1</v>
      </c>
      <c r="D459">
        <v>6.7</v>
      </c>
      <c r="E459">
        <v>93</v>
      </c>
      <c r="F459">
        <v>255</v>
      </c>
      <c r="G459">
        <v>11</v>
      </c>
      <c r="I459" t="str">
        <f t="shared" si="7"/>
        <v/>
      </c>
      <c r="J459" t="str">
        <f>VLOOKUP(aggregated_results!A459,representatives_list!A:D,4,FALSE)</f>
        <v>c.100.1</v>
      </c>
      <c r="K459" t="str">
        <f>VLOOKUP(aggregated_results!A459,representatives_list!A:D,3,FALSE)</f>
        <v>PPi</v>
      </c>
      <c r="L459" t="str">
        <f>VLOOKUP(aggregated_results!A459,representatives_list!A:E,5,FALSE)</f>
        <v>AG</v>
      </c>
      <c r="M459" t="str">
        <f>VLOOKUP(A459,representatives_list!A:B,2,FALSE)</f>
        <v>Thiamin pyrophosphokinase, catalytic domain</v>
      </c>
      <c r="N459" t="str">
        <f>VLOOKUP(B459,representatives_list!A:B,2,FALSE)</f>
        <v>Actin-like ATPase domain</v>
      </c>
      <c r="O459" t="str">
        <f>VLOOKUP(aggregated_results!B459,representatives_list!A:E,5,FALSE)</f>
        <v>BG(+)</v>
      </c>
      <c r="P459" t="str">
        <f>VLOOKUP(aggregated_results!B459,representatives_list!A:D,3,FALSE)</f>
        <v>Pi</v>
      </c>
      <c r="Q459" t="str">
        <f>VLOOKUP(aggregated_results!B459,representatives_list!A:D,4,FALSE)</f>
        <v>c.55.1</v>
      </c>
    </row>
    <row r="460" spans="1:17" x14ac:dyDescent="0.25">
      <c r="A460" t="s">
        <v>87</v>
      </c>
      <c r="B460" t="s">
        <v>35</v>
      </c>
      <c r="C460">
        <v>2.1</v>
      </c>
      <c r="D460">
        <v>6.4</v>
      </c>
      <c r="E460">
        <v>112</v>
      </c>
      <c r="F460">
        <v>687</v>
      </c>
      <c r="G460">
        <v>10</v>
      </c>
      <c r="I460" t="str">
        <f t="shared" si="7"/>
        <v/>
      </c>
      <c r="J460" t="str">
        <f>VLOOKUP(aggregated_results!A460,representatives_list!A:D,4,FALSE)</f>
        <v>d.136.1</v>
      </c>
      <c r="K460" t="str">
        <f>VLOOKUP(aggregated_results!A460,representatives_list!A:D,3,FALSE)</f>
        <v>Pi</v>
      </c>
      <c r="L460" t="str">
        <f>VLOOKUP(aggregated_results!A460,representatives_list!A:E,5,FALSE)</f>
        <v>N/A</v>
      </c>
      <c r="M460" t="str">
        <f>VLOOKUP(A460,representatives_list!A:B,2,FALSE)</f>
        <v>Phospholipase D/nuclease</v>
      </c>
      <c r="N460" t="str">
        <f>VLOOKUP(B460,representatives_list!A:B,2,FALSE)</f>
        <v>Phosphoglycerate kinase</v>
      </c>
      <c r="O460" t="str">
        <f>VLOOKUP(aggregated_results!B460,representatives_list!A:E,5,FALSE)</f>
        <v>ABG(–)</v>
      </c>
      <c r="P460" t="str">
        <f>VLOOKUP(aggregated_results!B460,representatives_list!A:D,3,FALSE)</f>
        <v>Pi</v>
      </c>
      <c r="Q460" t="str">
        <f>VLOOKUP(aggregated_results!B460,representatives_list!A:D,4,FALSE)</f>
        <v>c.86.1</v>
      </c>
    </row>
    <row r="461" spans="1:17" x14ac:dyDescent="0.25">
      <c r="A461" t="s">
        <v>18</v>
      </c>
      <c r="B461" t="s">
        <v>75</v>
      </c>
      <c r="C461">
        <v>2.1</v>
      </c>
      <c r="D461">
        <v>3.7</v>
      </c>
      <c r="E461">
        <v>101</v>
      </c>
      <c r="F461">
        <v>192</v>
      </c>
      <c r="G461">
        <v>5</v>
      </c>
      <c r="I461" t="e">
        <f t="shared" si="7"/>
        <v>#N/A</v>
      </c>
      <c r="J461" t="str">
        <f>VLOOKUP(aggregated_results!A461,representatives_list!A:D,4,FALSE)</f>
        <v>d.58.29</v>
      </c>
      <c r="K461" t="str">
        <f>VLOOKUP(aggregated_results!A461,representatives_list!A:D,3,FALSE)</f>
        <v>PPi</v>
      </c>
      <c r="L461" t="str">
        <f>VLOOKUP(aggregated_results!A461,representatives_list!A:E,5,FALSE)</f>
        <v>ABG(–)</v>
      </c>
      <c r="M461" t="str">
        <f>VLOOKUP(A461,representatives_list!A:B,2,FALSE)</f>
        <v>Nucleotide cyclase</v>
      </c>
      <c r="N461" t="str">
        <f>VLOOKUP(B461,representatives_list!A:B,2,FALSE)</f>
        <v>tRNA-splicing ligase RtcB-like superfamily</v>
      </c>
      <c r="O461" t="str">
        <f>VLOOKUP(aggregated_results!B461,representatives_list!A:E,5,FALSE)</f>
        <v>AB(+)</v>
      </c>
      <c r="P461" t="str">
        <f>VLOOKUP(aggregated_results!B461,representatives_list!A:D,3,FALSE)</f>
        <v>PPi</v>
      </c>
      <c r="Q461" t="str">
        <f>VLOOKUP(aggregated_results!B461,representatives_list!A:D,4,FALSE)</f>
        <v>N/A</v>
      </c>
    </row>
    <row r="462" spans="1:17" x14ac:dyDescent="0.25">
      <c r="A462" t="s">
        <v>30</v>
      </c>
      <c r="B462" t="s">
        <v>25</v>
      </c>
      <c r="C462">
        <v>2.1</v>
      </c>
      <c r="D462">
        <v>4.5999999999999996</v>
      </c>
      <c r="E462">
        <v>109</v>
      </c>
      <c r="F462">
        <v>371</v>
      </c>
      <c r="G462">
        <v>6</v>
      </c>
      <c r="I462" t="str">
        <f t="shared" si="7"/>
        <v/>
      </c>
      <c r="J462" t="str">
        <f>VLOOKUP(aggregated_results!A462,representatives_list!A:D,4,FALSE)</f>
        <v>c.141.1</v>
      </c>
      <c r="K462" t="str">
        <f>VLOOKUP(aggregated_results!A462,representatives_list!A:D,3,FALSE)</f>
        <v>Pi</v>
      </c>
      <c r="L462" t="str">
        <f>VLOOKUP(aggregated_results!A462,representatives_list!A:E,5,FALSE)</f>
        <v>N/A</v>
      </c>
      <c r="M462" t="str">
        <f>VLOOKUP(A462,representatives_list!A:B,2,FALSE)</f>
        <v>Glycerate kinase I</v>
      </c>
      <c r="N462" t="str">
        <f>VLOOKUP(B462,representatives_list!A:B,2,FALSE)</f>
        <v>Carbamate kinase-like</v>
      </c>
      <c r="O462" t="str">
        <f>VLOOKUP(aggregated_results!B462,representatives_list!A:E,5,FALSE)</f>
        <v>ABG(+)</v>
      </c>
      <c r="P462" t="str">
        <f>VLOOKUP(aggregated_results!B462,representatives_list!A:D,3,FALSE)</f>
        <v>Pi</v>
      </c>
      <c r="Q462" t="str">
        <f>VLOOKUP(aggregated_results!B462,representatives_list!A:D,4,FALSE)</f>
        <v>c.73.1</v>
      </c>
    </row>
    <row r="463" spans="1:17" x14ac:dyDescent="0.25">
      <c r="A463" t="s">
        <v>39</v>
      </c>
      <c r="B463" t="s">
        <v>91</v>
      </c>
      <c r="C463">
        <v>2.1</v>
      </c>
      <c r="D463">
        <v>6.8</v>
      </c>
      <c r="E463">
        <v>85</v>
      </c>
      <c r="F463">
        <v>485</v>
      </c>
      <c r="G463">
        <v>0</v>
      </c>
      <c r="I463" t="str">
        <f t="shared" si="7"/>
        <v/>
      </c>
      <c r="J463" t="str">
        <f>VLOOKUP(aggregated_results!A463,representatives_list!A:D,4,FALSE)</f>
        <v>e.41.1</v>
      </c>
      <c r="K463" t="str">
        <f>VLOOKUP(aggregated_results!A463,representatives_list!A:D,3,FALSE)</f>
        <v>PPi</v>
      </c>
      <c r="L463" t="str">
        <f>VLOOKUP(aggregated_results!A463,representatives_list!A:E,5,FALSE)</f>
        <v>AB(–)</v>
      </c>
      <c r="M463" t="str">
        <f>VLOOKUP(A463,representatives_list!A:B,2,FALSE)</f>
        <v>Adenylylcyclase toxin (the edema factor)</v>
      </c>
      <c r="N463" t="str">
        <f>VLOOKUP(B463,representatives_list!A:B,2,FALSE)</f>
        <v>Fic-like</v>
      </c>
      <c r="O463" t="str">
        <f>VLOOKUP(aggregated_results!B463,representatives_list!A:E,5,FALSE)</f>
        <v>AB(–)</v>
      </c>
      <c r="P463" t="str">
        <f>VLOOKUP(aggregated_results!B463,representatives_list!A:D,3,FALSE)</f>
        <v>PPi</v>
      </c>
      <c r="Q463" t="str">
        <f>VLOOKUP(aggregated_results!B463,representatives_list!A:D,4,FALSE)</f>
        <v>a.265.1</v>
      </c>
    </row>
    <row r="464" spans="1:17" x14ac:dyDescent="0.25">
      <c r="A464" t="s">
        <v>75</v>
      </c>
      <c r="B464" t="s">
        <v>26</v>
      </c>
      <c r="C464">
        <v>2</v>
      </c>
      <c r="D464">
        <v>3.7</v>
      </c>
      <c r="E464">
        <v>80</v>
      </c>
      <c r="F464">
        <v>481</v>
      </c>
      <c r="G464">
        <v>8</v>
      </c>
      <c r="I464" t="e">
        <f t="shared" si="7"/>
        <v>#N/A</v>
      </c>
      <c r="J464" t="str">
        <f>VLOOKUP(aggregated_results!A464,representatives_list!A:D,4,FALSE)</f>
        <v>N/A</v>
      </c>
      <c r="K464" t="str">
        <f>VLOOKUP(aggregated_results!A464,representatives_list!A:D,3,FALSE)</f>
        <v>PPi</v>
      </c>
      <c r="L464" t="str">
        <f>VLOOKUP(aggregated_results!A464,representatives_list!A:E,5,FALSE)</f>
        <v>AB(+)</v>
      </c>
      <c r="M464" t="str">
        <f>VLOOKUP(A464,representatives_list!A:B,2,FALSE)</f>
        <v>tRNA-splicing ligase RtcB-like superfamily</v>
      </c>
      <c r="N464" t="str">
        <f>VLOOKUP(B464,representatives_list!A:B,2,FALSE)</f>
        <v>GlnB-like</v>
      </c>
      <c r="O464" t="str">
        <f>VLOOKUP(aggregated_results!B464,representatives_list!A:E,5,FALSE)</f>
        <v>ABG(–)</v>
      </c>
      <c r="P464" t="str">
        <f>VLOOKUP(aggregated_results!B464,representatives_list!A:D,3,FALSE)</f>
        <v>Pi</v>
      </c>
      <c r="Q464" t="str">
        <f>VLOOKUP(aggregated_results!B464,representatives_list!A:D,4,FALSE)</f>
        <v>d.58.5</v>
      </c>
    </row>
    <row r="465" spans="1:17" x14ac:dyDescent="0.25">
      <c r="A465" t="s">
        <v>93</v>
      </c>
      <c r="B465" t="s">
        <v>29</v>
      </c>
      <c r="C465">
        <v>2</v>
      </c>
      <c r="D465">
        <v>6.1</v>
      </c>
      <c r="E465">
        <v>108</v>
      </c>
      <c r="F465">
        <v>452</v>
      </c>
      <c r="G465">
        <v>11</v>
      </c>
      <c r="I465" t="str">
        <f t="shared" si="7"/>
        <v/>
      </c>
      <c r="J465" t="str">
        <f>VLOOKUP(aggregated_results!A465,representatives_list!A:D,4,FALSE)</f>
        <v>c.66.1</v>
      </c>
      <c r="K465" t="str">
        <f>VLOOKUP(aggregated_results!A465,representatives_list!A:D,3,FALSE)</f>
        <v>PPi</v>
      </c>
      <c r="L465" t="str">
        <f>VLOOKUP(aggregated_results!A465,representatives_list!A:E,5,FALSE)</f>
        <v>N/A</v>
      </c>
      <c r="M465" t="str">
        <f>VLOOKUP(A465,representatives_list!A:B,2,FALSE)</f>
        <v>S-adenosyl-L-methionine-dependent methyltransferases</v>
      </c>
      <c r="N465" t="str">
        <f>VLOOKUP(B465,representatives_list!A:B,2,FALSE)</f>
        <v>PRTase-like</v>
      </c>
      <c r="O465" t="str">
        <f>VLOOKUP(aggregated_results!B465,representatives_list!A:E,5,FALSE)</f>
        <v>ABG(+)</v>
      </c>
      <c r="P465" t="str">
        <f>VLOOKUP(aggregated_results!B465,representatives_list!A:D,3,FALSE)</f>
        <v>PPi</v>
      </c>
      <c r="Q465" t="str">
        <f>VLOOKUP(aggregated_results!B465,representatives_list!A:D,4,FALSE)</f>
        <v>c.61.1</v>
      </c>
    </row>
    <row r="466" spans="1:17" x14ac:dyDescent="0.25">
      <c r="A466" t="s">
        <v>77</v>
      </c>
      <c r="B466" t="s">
        <v>18</v>
      </c>
      <c r="C466">
        <v>2</v>
      </c>
      <c r="D466">
        <v>3.9</v>
      </c>
      <c r="E466">
        <v>85</v>
      </c>
      <c r="F466">
        <v>329</v>
      </c>
      <c r="G466">
        <v>9</v>
      </c>
      <c r="I466" t="str">
        <f t="shared" si="7"/>
        <v/>
      </c>
      <c r="J466" t="str">
        <f>VLOOKUP(aggregated_results!A466,representatives_list!A:D,4,FALSE)</f>
        <v>d.218.1</v>
      </c>
      <c r="K466" t="str">
        <f>VLOOKUP(aggregated_results!A466,representatives_list!A:D,3,FALSE)</f>
        <v>PPi</v>
      </c>
      <c r="L466" t="str">
        <f>VLOOKUP(aggregated_results!A466,representatives_list!A:E,5,FALSE)</f>
        <v>ABG(–)</v>
      </c>
      <c r="M466" t="str">
        <f>VLOOKUP(A466,representatives_list!A:B,2,FALSE)</f>
        <v>Nucleotidyltransferase</v>
      </c>
      <c r="N466" t="str">
        <f>VLOOKUP(B466,representatives_list!A:B,2,FALSE)</f>
        <v>Nucleotide cyclase</v>
      </c>
      <c r="O466" t="str">
        <f>VLOOKUP(aggregated_results!B466,representatives_list!A:E,5,FALSE)</f>
        <v>ABG(–)</v>
      </c>
      <c r="P466" t="str">
        <f>VLOOKUP(aggregated_results!B466,representatives_list!A:D,3,FALSE)</f>
        <v>PPi</v>
      </c>
      <c r="Q466" t="str">
        <f>VLOOKUP(aggregated_results!B466,representatives_list!A:D,4,FALSE)</f>
        <v>d.58.29</v>
      </c>
    </row>
    <row r="467" spans="1:17" x14ac:dyDescent="0.25">
      <c r="A467" t="s">
        <v>76</v>
      </c>
      <c r="B467" t="s">
        <v>60</v>
      </c>
      <c r="C467">
        <v>2</v>
      </c>
      <c r="D467">
        <v>4.9000000000000004</v>
      </c>
      <c r="E467">
        <v>103</v>
      </c>
      <c r="F467">
        <v>278</v>
      </c>
      <c r="G467">
        <v>6</v>
      </c>
      <c r="I467" t="e">
        <f t="shared" si="7"/>
        <v>#N/A</v>
      </c>
      <c r="J467" t="str">
        <f>VLOOKUP(aggregated_results!A467,representatives_list!A:D,4,FALSE)</f>
        <v>N/A</v>
      </c>
      <c r="K467" t="str">
        <f>VLOOKUP(aggregated_results!A467,representatives_list!A:D,3,FALSE)</f>
        <v>PPi</v>
      </c>
      <c r="L467" t="str">
        <f>VLOOKUP(aggregated_results!A467,representatives_list!A:E,5,FALSE)</f>
        <v>N/A</v>
      </c>
      <c r="M467" t="str">
        <f>VLOOKUP(A467,representatives_list!A:B,2,FALSE)</f>
        <v>Phosphatidate cytidylyltransferase</v>
      </c>
      <c r="N467" t="str">
        <f>VLOOKUP(B467,representatives_list!A:B,2,FALSE)</f>
        <v>Virion DNA-directed RNA polymerase domain</v>
      </c>
      <c r="O467" t="str">
        <f>VLOOKUP(aggregated_results!B467,representatives_list!A:E,5,FALSE)</f>
        <v>ABG(+)</v>
      </c>
      <c r="P467" t="str">
        <f>VLOOKUP(aggregated_results!B467,representatives_list!A:D,3,FALSE)</f>
        <v>PPi</v>
      </c>
      <c r="Q467" t="str">
        <f>VLOOKUP(aggregated_results!B467,representatives_list!A:D,4,FALSE)</f>
        <v>N/A</v>
      </c>
    </row>
    <row r="468" spans="1:17" x14ac:dyDescent="0.25">
      <c r="A468" t="s">
        <v>65</v>
      </c>
      <c r="B468" t="s">
        <v>77</v>
      </c>
      <c r="C468">
        <v>2</v>
      </c>
      <c r="D468">
        <v>7.4</v>
      </c>
      <c r="E468">
        <v>75</v>
      </c>
      <c r="F468">
        <v>178</v>
      </c>
      <c r="G468">
        <v>11</v>
      </c>
      <c r="I468" t="str">
        <f t="shared" si="7"/>
        <v/>
      </c>
      <c r="J468" t="str">
        <f>VLOOKUP(aggregated_results!A468,representatives_list!A:D,4,FALSE)</f>
        <v>a.25.2</v>
      </c>
      <c r="K468" t="str">
        <f>VLOOKUP(aggregated_results!A468,representatives_list!A:D,3,FALSE)</f>
        <v>PPPi</v>
      </c>
      <c r="L468" t="str">
        <f>VLOOKUP(aggregated_results!A468,representatives_list!A:E,5,FALSE)</f>
        <v>ABG(+)</v>
      </c>
      <c r="M468" t="str">
        <f>VLOOKUP(A468,representatives_list!A:B,2,FALSE)</f>
        <v>Cobalamin adenosyltransferase-like</v>
      </c>
      <c r="N468" t="str">
        <f>VLOOKUP(B468,representatives_list!A:B,2,FALSE)</f>
        <v>Nucleotidyltransferase</v>
      </c>
      <c r="O468" t="str">
        <f>VLOOKUP(aggregated_results!B468,representatives_list!A:E,5,FALSE)</f>
        <v>ABG(–)</v>
      </c>
      <c r="P468" t="str">
        <f>VLOOKUP(aggregated_results!B468,representatives_list!A:D,3,FALSE)</f>
        <v>PPi</v>
      </c>
      <c r="Q468" t="str">
        <f>VLOOKUP(aggregated_results!B468,representatives_list!A:D,4,FALSE)</f>
        <v>d.218.1</v>
      </c>
    </row>
    <row r="469" spans="1:17" x14ac:dyDescent="0.25">
      <c r="A469" t="s">
        <v>33</v>
      </c>
      <c r="B469" t="s">
        <v>57</v>
      </c>
      <c r="C469">
        <v>2</v>
      </c>
      <c r="D469">
        <v>3.6</v>
      </c>
      <c r="E469">
        <v>77</v>
      </c>
      <c r="F469">
        <v>530</v>
      </c>
      <c r="G469">
        <v>8</v>
      </c>
      <c r="I469" t="str">
        <f t="shared" si="7"/>
        <v/>
      </c>
      <c r="J469" t="str">
        <f>VLOOKUP(aggregated_results!A469,representatives_list!A:D,4,FALSE)</f>
        <v>e.23.1</v>
      </c>
      <c r="K469" t="str">
        <f>VLOOKUP(aggregated_results!A469,representatives_list!A:D,3,FALSE)</f>
        <v>PPi</v>
      </c>
      <c r="L469" t="str">
        <f>VLOOKUP(aggregated_results!A469,representatives_list!A:E,5,FALSE)</f>
        <v>BG(+)</v>
      </c>
      <c r="M469" t="str">
        <f>VLOOKUP(A469,representatives_list!A:B,2,FALSE)</f>
        <v>Acetyl-CoA synthetase-like</v>
      </c>
      <c r="N469" t="str">
        <f>VLOOKUP(B469,representatives_list!A:B,2,FALSE)</f>
        <v>RibA-like</v>
      </c>
      <c r="O469" t="str">
        <f>VLOOKUP(aggregated_results!B469,representatives_list!A:E,5,FALSE)</f>
        <v>AB</v>
      </c>
      <c r="P469" t="str">
        <f>VLOOKUP(aggregated_results!B469,representatives_list!A:D,3,FALSE)</f>
        <v>PPi</v>
      </c>
      <c r="Q469" t="str">
        <f>VLOOKUP(aggregated_results!B469,representatives_list!A:D,4,FALSE)</f>
        <v>c.144.1</v>
      </c>
    </row>
    <row r="470" spans="1:17" x14ac:dyDescent="0.25">
      <c r="A470" t="s">
        <v>41</v>
      </c>
      <c r="B470" t="s">
        <v>32</v>
      </c>
      <c r="C470">
        <v>2</v>
      </c>
      <c r="D470">
        <v>3</v>
      </c>
      <c r="E470">
        <v>71</v>
      </c>
      <c r="F470">
        <v>394</v>
      </c>
      <c r="G470">
        <v>13</v>
      </c>
      <c r="I470" t="str">
        <f t="shared" si="7"/>
        <v/>
      </c>
      <c r="J470" t="str">
        <f>VLOOKUP(aggregated_results!A470,representatives_list!A:D,4,FALSE)</f>
        <v>c.57.1</v>
      </c>
      <c r="K470" t="str">
        <f>VLOOKUP(aggregated_results!A470,representatives_list!A:D,3,FALSE)</f>
        <v>Pi</v>
      </c>
      <c r="L470" t="str">
        <f>VLOOKUP(aggregated_results!A470,representatives_list!A:E,5,FALSE)</f>
        <v>ABG(–)</v>
      </c>
      <c r="M470" t="str">
        <f>VLOOKUP(A470,representatives_list!A:B,2,FALSE)</f>
        <v>Molybdenum cofactor biosynthesis proteins</v>
      </c>
      <c r="N470" t="str">
        <f>VLOOKUP(B470,representatives_list!A:B,2,FALSE)</f>
        <v>Phosphoenolpyruvate/pyruvate domain</v>
      </c>
      <c r="O470" t="str">
        <f>VLOOKUP(aggregated_results!B470,representatives_list!A:E,5,FALSE)</f>
        <v>ABG(–)</v>
      </c>
      <c r="P470" t="str">
        <f>VLOOKUP(aggregated_results!B470,representatives_list!A:D,3,FALSE)</f>
        <v>Pi</v>
      </c>
      <c r="Q470" t="str">
        <f>VLOOKUP(aggregated_results!B470,representatives_list!A:D,4,FALSE)</f>
        <v>c.1.12</v>
      </c>
    </row>
    <row r="471" spans="1:17" x14ac:dyDescent="0.25">
      <c r="A471" t="s">
        <v>21</v>
      </c>
      <c r="B471" t="s">
        <v>59</v>
      </c>
      <c r="C471">
        <v>2</v>
      </c>
      <c r="D471">
        <v>5.0999999999999996</v>
      </c>
      <c r="E471">
        <v>66</v>
      </c>
      <c r="F471">
        <v>753</v>
      </c>
      <c r="G471">
        <v>14</v>
      </c>
      <c r="I471" t="str">
        <f t="shared" si="7"/>
        <v/>
      </c>
      <c r="J471" t="str">
        <f>VLOOKUP(aggregated_results!A471,representatives_list!A:D,4,FALSE)</f>
        <v>d.115.1</v>
      </c>
      <c r="K471" t="str">
        <f>VLOOKUP(aggregated_results!A471,representatives_list!A:D,3,FALSE)</f>
        <v>PPi</v>
      </c>
      <c r="L471" t="str">
        <f>VLOOKUP(aggregated_results!A471,representatives_list!A:E,5,FALSE)</f>
        <v>ABG(–)</v>
      </c>
      <c r="M471" t="str">
        <f>VLOOKUP(A471,representatives_list!A:B,2,FALSE)</f>
        <v>YrdC/RibB</v>
      </c>
      <c r="N471" t="str">
        <f>VLOOKUP(B471,representatives_list!A:B,2,FALSE)</f>
        <v>CYTH-like phosphatases</v>
      </c>
      <c r="O471" t="str">
        <f>VLOOKUP(aggregated_results!B471,representatives_list!A:E,5,FALSE)</f>
        <v>ABG(+)</v>
      </c>
      <c r="P471" t="str">
        <f>VLOOKUP(aggregated_results!B471,representatives_list!A:D,3,FALSE)</f>
        <v>Pi</v>
      </c>
      <c r="Q471" t="str">
        <f>VLOOKUP(aggregated_results!B471,representatives_list!A:D,4,FALSE)</f>
        <v>d.63.1</v>
      </c>
    </row>
    <row r="472" spans="1:17" x14ac:dyDescent="0.25">
      <c r="A472" t="s">
        <v>21</v>
      </c>
      <c r="B472" t="s">
        <v>34</v>
      </c>
      <c r="C472">
        <v>2</v>
      </c>
      <c r="D472">
        <v>4.0999999999999996</v>
      </c>
      <c r="E472">
        <v>102</v>
      </c>
      <c r="F472">
        <v>753</v>
      </c>
      <c r="G472">
        <v>15</v>
      </c>
      <c r="I472" t="str">
        <f t="shared" si="7"/>
        <v/>
      </c>
      <c r="J472" t="str">
        <f>VLOOKUP(aggregated_results!A472,representatives_list!A:D,4,FALSE)</f>
        <v>d.115.1</v>
      </c>
      <c r="K472" t="str">
        <f>VLOOKUP(aggregated_results!A472,representatives_list!A:D,3,FALSE)</f>
        <v>PPi</v>
      </c>
      <c r="L472" t="str">
        <f>VLOOKUP(aggregated_results!A472,representatives_list!A:E,5,FALSE)</f>
        <v>ABG(–)</v>
      </c>
      <c r="M472" t="str">
        <f>VLOOKUP(A472,representatives_list!A:B,2,FALSE)</f>
        <v>YrdC/RibB</v>
      </c>
      <c r="N472" t="str">
        <f>VLOOKUP(B472,representatives_list!A:B,2,FALSE)</f>
        <v>Tubulin nucleotide-binding domain-like</v>
      </c>
      <c r="O472" t="str">
        <f>VLOOKUP(aggregated_results!B472,representatives_list!A:E,5,FALSE)</f>
        <v>BG(–)</v>
      </c>
      <c r="P472" t="str">
        <f>VLOOKUP(aggregated_results!B472,representatives_list!A:D,3,FALSE)</f>
        <v>Pi</v>
      </c>
      <c r="Q472" t="str">
        <f>VLOOKUP(aggregated_results!B472,representatives_list!A:D,4,FALSE)</f>
        <v>c.32.1</v>
      </c>
    </row>
    <row r="473" spans="1:17" x14ac:dyDescent="0.25">
      <c r="A473" t="s">
        <v>66</v>
      </c>
      <c r="B473" t="s">
        <v>69</v>
      </c>
      <c r="C473">
        <v>2</v>
      </c>
      <c r="D473">
        <v>4.4000000000000004</v>
      </c>
      <c r="E473">
        <v>74</v>
      </c>
      <c r="F473">
        <v>146</v>
      </c>
      <c r="G473">
        <v>7</v>
      </c>
      <c r="I473" t="str">
        <f t="shared" si="7"/>
        <v/>
      </c>
      <c r="J473" t="str">
        <f>VLOOKUP(aggregated_results!A473,representatives_list!A:D,4,FALSE)</f>
        <v>d.58.21</v>
      </c>
      <c r="K473" t="str">
        <f>VLOOKUP(aggregated_results!A473,representatives_list!A:D,3,FALSE)</f>
        <v>PPi</v>
      </c>
      <c r="L473" t="str">
        <f>VLOOKUP(aggregated_results!A473,representatives_list!A:E,5,FALSE)</f>
        <v>N/A</v>
      </c>
      <c r="M473" t="str">
        <f>VLOOKUP(A473,representatives_list!A:B,2,FALSE)</f>
        <v>Molybdenum cofactor biosynthesis protein C, MoaC</v>
      </c>
      <c r="N473" t="str">
        <f>VLOOKUP(B473,representatives_list!A:B,2,FALSE)</f>
        <v>Mitochondrial carrier</v>
      </c>
      <c r="O473" t="str">
        <f>VLOOKUP(aggregated_results!B473,representatives_list!A:E,5,FALSE)</f>
        <v>AB(–)</v>
      </c>
      <c r="P473" t="str">
        <f>VLOOKUP(aggregated_results!B473,representatives_list!A:D,3,FALSE)</f>
        <v>PPi</v>
      </c>
      <c r="Q473" t="str">
        <f>VLOOKUP(aggregated_results!B473,representatives_list!A:D,4,FALSE)</f>
        <v>f.42.1</v>
      </c>
    </row>
    <row r="474" spans="1:17" x14ac:dyDescent="0.25">
      <c r="A474" t="s">
        <v>66</v>
      </c>
      <c r="B474" t="s">
        <v>52</v>
      </c>
      <c r="C474">
        <v>2</v>
      </c>
      <c r="D474">
        <v>4.0999999999999996</v>
      </c>
      <c r="E474">
        <v>68</v>
      </c>
      <c r="F474">
        <v>146</v>
      </c>
      <c r="G474">
        <v>6</v>
      </c>
      <c r="I474" t="str">
        <f t="shared" si="7"/>
        <v/>
      </c>
      <c r="J474" t="str">
        <f>VLOOKUP(aggregated_results!A474,representatives_list!A:D,4,FALSE)</f>
        <v>d.58.21</v>
      </c>
      <c r="K474" t="str">
        <f>VLOOKUP(aggregated_results!A474,representatives_list!A:D,3,FALSE)</f>
        <v>PPi</v>
      </c>
      <c r="L474" t="str">
        <f>VLOOKUP(aggregated_results!A474,representatives_list!A:E,5,FALSE)</f>
        <v>N/A</v>
      </c>
      <c r="M474" t="str">
        <f>VLOOKUP(A474,representatives_list!A:B,2,FALSE)</f>
        <v>Molybdenum cofactor biosynthesis protein C, MoaC</v>
      </c>
      <c r="N474" t="str">
        <f>VLOOKUP(B474,representatives_list!A:B,2,FALSE)</f>
        <v>PurM N-terminal domain-like</v>
      </c>
      <c r="O474" t="str">
        <f>VLOOKUP(aggregated_results!B474,representatives_list!A:E,5,FALSE)</f>
        <v>ABG(+)</v>
      </c>
      <c r="P474" t="str">
        <f>VLOOKUP(aggregated_results!B474,representatives_list!A:D,3,FALSE)</f>
        <v>Pi</v>
      </c>
      <c r="Q474" t="str">
        <f>VLOOKUP(aggregated_results!B474,representatives_list!A:D,4,FALSE)</f>
        <v>d.79.4</v>
      </c>
    </row>
    <row r="475" spans="1:17" x14ac:dyDescent="0.25">
      <c r="A475" t="s">
        <v>66</v>
      </c>
      <c r="B475" t="s">
        <v>48</v>
      </c>
      <c r="C475">
        <v>2</v>
      </c>
      <c r="D475">
        <v>6.6</v>
      </c>
      <c r="E475">
        <v>63</v>
      </c>
      <c r="F475">
        <v>146</v>
      </c>
      <c r="G475">
        <v>8</v>
      </c>
      <c r="I475" t="str">
        <f t="shared" si="7"/>
        <v/>
      </c>
      <c r="J475" t="str">
        <f>VLOOKUP(aggregated_results!A475,representatives_list!A:D,4,FALSE)</f>
        <v>d.58.21</v>
      </c>
      <c r="K475" t="str">
        <f>VLOOKUP(aggregated_results!A475,representatives_list!A:D,3,FALSE)</f>
        <v>PPi</v>
      </c>
      <c r="L475" t="str">
        <f>VLOOKUP(aggregated_results!A475,representatives_list!A:E,5,FALSE)</f>
        <v>N/A</v>
      </c>
      <c r="M475" t="str">
        <f>VLOOKUP(A475,representatives_list!A:B,2,FALSE)</f>
        <v>Molybdenum cofactor biosynthesis protein C, MoaC</v>
      </c>
      <c r="N475" t="str">
        <f>VLOOKUP(B475,representatives_list!A:B,2,FALSE)</f>
        <v>Metal cation-transporting ATPase, ATP-binding domain N</v>
      </c>
      <c r="O475" t="str">
        <f>VLOOKUP(aggregated_results!B475,representatives_list!A:E,5,FALSE)</f>
        <v>BG(–)</v>
      </c>
      <c r="P475" t="str">
        <f>VLOOKUP(aggregated_results!B475,representatives_list!A:D,3,FALSE)</f>
        <v>Pi</v>
      </c>
      <c r="Q475" t="str">
        <f>VLOOKUP(aggregated_results!B475,representatives_list!A:D,4,FALSE)</f>
        <v>d.220.1</v>
      </c>
    </row>
    <row r="476" spans="1:17" x14ac:dyDescent="0.25">
      <c r="A476" t="s">
        <v>20</v>
      </c>
      <c r="B476" t="s">
        <v>38</v>
      </c>
      <c r="C476">
        <v>2</v>
      </c>
      <c r="D476">
        <v>5.3</v>
      </c>
      <c r="E476">
        <v>64</v>
      </c>
      <c r="F476">
        <v>994</v>
      </c>
      <c r="G476">
        <v>6</v>
      </c>
      <c r="I476" t="e">
        <f t="shared" si="7"/>
        <v>#N/A</v>
      </c>
      <c r="J476" t="str">
        <f>VLOOKUP(aggregated_results!A476,representatives_list!A:D,4,FALSE)</f>
        <v>N/A</v>
      </c>
      <c r="K476" t="str">
        <f>VLOOKUP(aggregated_results!A476,representatives_list!A:D,3,FALSE)</f>
        <v>PPi</v>
      </c>
      <c r="L476" t="str">
        <f>VLOOKUP(aggregated_results!A476,representatives_list!A:E,5,FALSE)</f>
        <v>ABG(–)</v>
      </c>
      <c r="M476" t="str">
        <f>VLOOKUP(A476,representatives_list!A:B,2,FALSE)</f>
        <v>Bacterial DNA polymerase III, alpha subunit, NTPase domain</v>
      </c>
      <c r="N476" t="str">
        <f>VLOOKUP(B476,representatives_list!A:B,2,FALSE)</f>
        <v>YojJ-like</v>
      </c>
      <c r="O476" t="str">
        <f>VLOOKUP(aggregated_results!B476,representatives_list!A:E,5,FALSE)</f>
        <v>ABG(–)</v>
      </c>
      <c r="P476" t="str">
        <f>VLOOKUP(aggregated_results!B476,representatives_list!A:D,3,FALSE)</f>
        <v>PPi</v>
      </c>
      <c r="Q476" t="str">
        <f>VLOOKUP(aggregated_results!B476,representatives_list!A:D,4,FALSE)</f>
        <v>d.320.1</v>
      </c>
    </row>
    <row r="477" spans="1:17" x14ac:dyDescent="0.25">
      <c r="A477" t="s">
        <v>20</v>
      </c>
      <c r="B477" t="s">
        <v>35</v>
      </c>
      <c r="C477">
        <v>2</v>
      </c>
      <c r="D477">
        <v>4</v>
      </c>
      <c r="E477">
        <v>106</v>
      </c>
      <c r="F477">
        <v>994</v>
      </c>
      <c r="G477">
        <v>11</v>
      </c>
      <c r="I477" t="e">
        <f t="shared" si="7"/>
        <v>#N/A</v>
      </c>
      <c r="J477" t="str">
        <f>VLOOKUP(aggregated_results!A477,representatives_list!A:D,4,FALSE)</f>
        <v>N/A</v>
      </c>
      <c r="K477" t="str">
        <f>VLOOKUP(aggregated_results!A477,representatives_list!A:D,3,FALSE)</f>
        <v>PPi</v>
      </c>
      <c r="L477" t="str">
        <f>VLOOKUP(aggregated_results!A477,representatives_list!A:E,5,FALSE)</f>
        <v>ABG(–)</v>
      </c>
      <c r="M477" t="str">
        <f>VLOOKUP(A477,representatives_list!A:B,2,FALSE)</f>
        <v>Bacterial DNA polymerase III, alpha subunit, NTPase domain</v>
      </c>
      <c r="N477" t="str">
        <f>VLOOKUP(B477,representatives_list!A:B,2,FALSE)</f>
        <v>Phosphoglycerate kinase</v>
      </c>
      <c r="O477" t="str">
        <f>VLOOKUP(aggregated_results!B477,representatives_list!A:E,5,FALSE)</f>
        <v>ABG(–)</v>
      </c>
      <c r="P477" t="str">
        <f>VLOOKUP(aggregated_results!B477,representatives_list!A:D,3,FALSE)</f>
        <v>Pi</v>
      </c>
      <c r="Q477" t="str">
        <f>VLOOKUP(aggregated_results!B477,representatives_list!A:D,4,FALSE)</f>
        <v>c.86.1</v>
      </c>
    </row>
    <row r="478" spans="1:17" x14ac:dyDescent="0.25">
      <c r="A478" t="s">
        <v>64</v>
      </c>
      <c r="B478" t="s">
        <v>54</v>
      </c>
      <c r="C478">
        <v>2</v>
      </c>
      <c r="D478">
        <v>3.8</v>
      </c>
      <c r="E478">
        <v>92</v>
      </c>
      <c r="F478">
        <v>412</v>
      </c>
      <c r="G478">
        <v>11</v>
      </c>
      <c r="I478" t="str">
        <f t="shared" si="7"/>
        <v/>
      </c>
      <c r="J478" t="str">
        <f>VLOOKUP(aggregated_results!A478,representatives_list!A:D,4,FALSE)</f>
        <v>c.146.1</v>
      </c>
      <c r="K478" t="str">
        <f>VLOOKUP(aggregated_results!A478,representatives_list!A:D,3,FALSE)</f>
        <v>Pi</v>
      </c>
      <c r="L478" t="str">
        <f>VLOOKUP(aggregated_results!A478,representatives_list!A:E,5,FALSE)</f>
        <v>N/A</v>
      </c>
      <c r="M478" t="str">
        <f>VLOOKUP(A478,representatives_list!A:B,2,FALSE)</f>
        <v>YgbK-like</v>
      </c>
      <c r="N478" t="str">
        <f>VLOOKUP(B478,representatives_list!A:B,2,FALSE)</f>
        <v>Glutathione synthetase ATP-binding domain-like</v>
      </c>
      <c r="O478" t="str">
        <f>VLOOKUP(aggregated_results!B478,representatives_list!A:E,5,FALSE)</f>
        <v>BG(–)</v>
      </c>
      <c r="P478" t="str">
        <f>VLOOKUP(aggregated_results!B478,representatives_list!A:D,3,FALSE)</f>
        <v>Pi</v>
      </c>
      <c r="Q478" t="str">
        <f>VLOOKUP(aggregated_results!B478,representatives_list!A:D,4,FALSE)</f>
        <v>d.142.1</v>
      </c>
    </row>
    <row r="479" spans="1:17" x14ac:dyDescent="0.25">
      <c r="A479" t="s">
        <v>64</v>
      </c>
      <c r="B479" t="s">
        <v>43</v>
      </c>
      <c r="C479">
        <v>2</v>
      </c>
      <c r="D479">
        <v>15.3</v>
      </c>
      <c r="E479">
        <v>105</v>
      </c>
      <c r="F479">
        <v>412</v>
      </c>
      <c r="G479">
        <v>4</v>
      </c>
      <c r="I479" t="str">
        <f t="shared" si="7"/>
        <v/>
      </c>
      <c r="J479" t="str">
        <f>VLOOKUP(aggregated_results!A479,representatives_list!A:D,4,FALSE)</f>
        <v>c.146.1</v>
      </c>
      <c r="K479" t="str">
        <f>VLOOKUP(aggregated_results!A479,representatives_list!A:D,3,FALSE)</f>
        <v>Pi</v>
      </c>
      <c r="L479" t="str">
        <f>VLOOKUP(aggregated_results!A479,representatives_list!A:E,5,FALSE)</f>
        <v>N/A</v>
      </c>
      <c r="M479" t="str">
        <f>VLOOKUP(A479,representatives_list!A:B,2,FALSE)</f>
        <v>YgbK-like</v>
      </c>
      <c r="N479" t="str">
        <f>VLOOKUP(B479,representatives_list!A:B,2,FALSE)</f>
        <v>Nicotinate/Quinolinate PRTase C-terminal domain-like</v>
      </c>
      <c r="O479" t="str">
        <f>VLOOKUP(aggregated_results!B479,representatives_list!A:E,5,FALSE)</f>
        <v>N/A</v>
      </c>
      <c r="P479" t="str">
        <f>VLOOKUP(aggregated_results!B479,representatives_list!A:D,3,FALSE)</f>
        <v>Pi</v>
      </c>
      <c r="Q479" t="str">
        <f>VLOOKUP(aggregated_results!B479,representatives_list!A:D,4,FALSE)</f>
        <v>c.1.17</v>
      </c>
    </row>
    <row r="480" spans="1:17" x14ac:dyDescent="0.25">
      <c r="A480" t="s">
        <v>18</v>
      </c>
      <c r="B480" t="s">
        <v>90</v>
      </c>
      <c r="C480">
        <v>2</v>
      </c>
      <c r="D480">
        <v>3.6</v>
      </c>
      <c r="E480">
        <v>105</v>
      </c>
      <c r="F480">
        <v>192</v>
      </c>
      <c r="G480">
        <v>8</v>
      </c>
      <c r="I480" t="str">
        <f t="shared" si="7"/>
        <v/>
      </c>
      <c r="J480" t="str">
        <f>VLOOKUP(aggregated_results!A480,representatives_list!A:D,4,FALSE)</f>
        <v>d.58.29</v>
      </c>
      <c r="K480" t="str">
        <f>VLOOKUP(aggregated_results!A480,representatives_list!A:D,3,FALSE)</f>
        <v>PPi</v>
      </c>
      <c r="L480" t="str">
        <f>VLOOKUP(aggregated_results!A480,representatives_list!A:E,5,FALSE)</f>
        <v>ABG(–)</v>
      </c>
      <c r="M480" t="str">
        <f>VLOOKUP(A480,representatives_list!A:B,2,FALSE)</f>
        <v>Nucleotide cyclase</v>
      </c>
      <c r="N480" t="str">
        <f>VLOOKUP(B480,representatives_list!A:B,2,FALSE)</f>
        <v>Glutamine synthetase/guanido kinase</v>
      </c>
      <c r="O480" t="str">
        <f>VLOOKUP(aggregated_results!B480,representatives_list!A:E,5,FALSE)</f>
        <v>BG(+)</v>
      </c>
      <c r="P480" t="str">
        <f>VLOOKUP(aggregated_results!B480,representatives_list!A:D,3,FALSE)</f>
        <v>Pi</v>
      </c>
      <c r="Q480" t="str">
        <f>VLOOKUP(aggregated_results!B480,representatives_list!A:D,4,FALSE)</f>
        <v>d.128.1</v>
      </c>
    </row>
    <row r="481" spans="1:17" x14ac:dyDescent="0.25">
      <c r="A481" t="s">
        <v>51</v>
      </c>
      <c r="B481" t="s">
        <v>31</v>
      </c>
      <c r="C481">
        <v>2</v>
      </c>
      <c r="D481">
        <v>8.1999999999999993</v>
      </c>
      <c r="E481">
        <v>90</v>
      </c>
      <c r="F481">
        <v>537</v>
      </c>
      <c r="G481">
        <v>2</v>
      </c>
      <c r="I481" t="str">
        <f t="shared" si="7"/>
        <v/>
      </c>
      <c r="J481" t="str">
        <f>VLOOKUP(aggregated_results!A481,representatives_list!A:D,4,FALSE)</f>
        <v>a.208.1</v>
      </c>
      <c r="K481" t="str">
        <f>VLOOKUP(aggregated_results!A481,representatives_list!A:D,3,FALSE)</f>
        <v>Pi</v>
      </c>
      <c r="L481" t="str">
        <f>VLOOKUP(aggregated_results!A481,representatives_list!A:E,5,FALSE)</f>
        <v>BG(–)</v>
      </c>
      <c r="M481" t="str">
        <f>VLOOKUP(A481,representatives_list!A:B,2,FALSE)</f>
        <v>DhaL-like</v>
      </c>
      <c r="N481" t="str">
        <f>VLOOKUP(B481,representatives_list!A:B,2,FALSE)</f>
        <v>GHMP Kinase, C-terminal domain</v>
      </c>
      <c r="O481" t="str">
        <f>VLOOKUP(aggregated_results!B481,representatives_list!A:E,5,FALSE)</f>
        <v>ABG(+)</v>
      </c>
      <c r="P481" t="str">
        <f>VLOOKUP(aggregated_results!B481,representatives_list!A:D,3,FALSE)</f>
        <v>Pi</v>
      </c>
      <c r="Q481" t="str">
        <f>VLOOKUP(aggregated_results!B481,representatives_list!A:D,4,FALSE)</f>
        <v>d.58.26</v>
      </c>
    </row>
    <row r="482" spans="1:17" x14ac:dyDescent="0.25">
      <c r="A482" t="s">
        <v>89</v>
      </c>
      <c r="B482" t="s">
        <v>52</v>
      </c>
      <c r="C482">
        <v>2</v>
      </c>
      <c r="D482">
        <v>3.9</v>
      </c>
      <c r="E482">
        <v>68</v>
      </c>
      <c r="F482">
        <v>126</v>
      </c>
      <c r="G482">
        <v>10</v>
      </c>
      <c r="I482" t="str">
        <f t="shared" si="7"/>
        <v/>
      </c>
      <c r="J482" t="str">
        <f>VLOOKUP(aggregated_results!A482,representatives_list!A:D,4,FALSE)</f>
        <v>d.13.1</v>
      </c>
      <c r="K482" t="str">
        <f>VLOOKUP(aggregated_results!A482,representatives_list!A:D,3,FALSE)</f>
        <v>Pi</v>
      </c>
      <c r="L482" t="str">
        <f>VLOOKUP(aggregated_results!A482,representatives_list!A:E,5,FALSE)</f>
        <v>N/A</v>
      </c>
      <c r="M482" t="str">
        <f>VLOOKUP(A482,representatives_list!A:B,2,FALSE)</f>
        <v>HIT-like</v>
      </c>
      <c r="N482" t="str">
        <f>VLOOKUP(B482,representatives_list!A:B,2,FALSE)</f>
        <v>PurM N-terminal domain-like</v>
      </c>
      <c r="O482" t="str">
        <f>VLOOKUP(aggregated_results!B482,representatives_list!A:E,5,FALSE)</f>
        <v>ABG(+)</v>
      </c>
      <c r="P482" t="str">
        <f>VLOOKUP(aggregated_results!B482,representatives_list!A:D,3,FALSE)</f>
        <v>Pi</v>
      </c>
      <c r="Q482" t="str">
        <f>VLOOKUP(aggregated_results!B482,representatives_list!A:D,4,FALSE)</f>
        <v>d.79.4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DE149-8FCC-49E9-BA96-4BCBA6580ADB}">
  <dimension ref="A1:E91"/>
  <sheetViews>
    <sheetView workbookViewId="0">
      <selection activeCell="B7" sqref="B7"/>
    </sheetView>
  </sheetViews>
  <sheetFormatPr defaultRowHeight="15" x14ac:dyDescent="0.25"/>
  <cols>
    <col min="1" max="1" width="14.140625" customWidth="1"/>
    <col min="2" max="2" width="57.42578125" customWidth="1"/>
    <col min="3" max="3" width="8.85546875" style="10" customWidth="1"/>
    <col min="4" max="4" width="11.140625" customWidth="1"/>
    <col min="5" max="5" width="12.85546875" customWidth="1"/>
  </cols>
  <sheetData>
    <row r="1" spans="1:5" x14ac:dyDescent="0.25">
      <c r="A1" s="1" t="s">
        <v>95</v>
      </c>
      <c r="B1" s="1" t="s">
        <v>96</v>
      </c>
      <c r="C1" s="1" t="s">
        <v>97</v>
      </c>
      <c r="D1" s="1" t="s">
        <v>98</v>
      </c>
      <c r="E1" s="1" t="s">
        <v>99</v>
      </c>
    </row>
    <row r="2" spans="1:5" x14ac:dyDescent="0.25">
      <c r="A2" t="s">
        <v>32</v>
      </c>
      <c r="B2" t="s">
        <v>100</v>
      </c>
      <c r="C2" s="6" t="s">
        <v>101</v>
      </c>
      <c r="D2" t="s">
        <v>102</v>
      </c>
      <c r="E2" s="12" t="s">
        <v>103</v>
      </c>
    </row>
    <row r="3" spans="1:5" x14ac:dyDescent="0.25">
      <c r="A3" t="s">
        <v>41</v>
      </c>
      <c r="B3" t="s">
        <v>104</v>
      </c>
      <c r="C3" s="6" t="s">
        <v>101</v>
      </c>
      <c r="D3" t="s">
        <v>105</v>
      </c>
      <c r="E3" s="12" t="s">
        <v>103</v>
      </c>
    </row>
    <row r="4" spans="1:5" x14ac:dyDescent="0.25">
      <c r="A4" t="s">
        <v>35</v>
      </c>
      <c r="B4" t="s">
        <v>106</v>
      </c>
      <c r="C4" s="6" t="s">
        <v>101</v>
      </c>
      <c r="D4" t="s">
        <v>107</v>
      </c>
      <c r="E4" s="12" t="s">
        <v>103</v>
      </c>
    </row>
    <row r="5" spans="1:5" x14ac:dyDescent="0.25">
      <c r="A5" t="s">
        <v>26</v>
      </c>
      <c r="B5" t="s">
        <v>108</v>
      </c>
      <c r="C5" s="6" t="s">
        <v>101</v>
      </c>
      <c r="D5" t="s">
        <v>109</v>
      </c>
      <c r="E5" s="12" t="s">
        <v>103</v>
      </c>
    </row>
    <row r="6" spans="1:5" x14ac:dyDescent="0.25">
      <c r="A6" t="s">
        <v>37</v>
      </c>
      <c r="B6" t="s">
        <v>110</v>
      </c>
      <c r="C6" s="6" t="s">
        <v>101</v>
      </c>
      <c r="D6" t="s">
        <v>111</v>
      </c>
      <c r="E6" s="12" t="s">
        <v>103</v>
      </c>
    </row>
    <row r="7" spans="1:5" x14ac:dyDescent="0.25">
      <c r="A7" t="s">
        <v>56</v>
      </c>
      <c r="B7" t="s">
        <v>112</v>
      </c>
      <c r="C7" s="6" t="s">
        <v>101</v>
      </c>
      <c r="D7" t="s">
        <v>113</v>
      </c>
      <c r="E7" s="13" t="s">
        <v>114</v>
      </c>
    </row>
    <row r="8" spans="1:5" x14ac:dyDescent="0.25">
      <c r="A8" t="s">
        <v>61</v>
      </c>
      <c r="B8" t="s">
        <v>115</v>
      </c>
      <c r="C8" s="6" t="s">
        <v>101</v>
      </c>
      <c r="D8" t="s">
        <v>116</v>
      </c>
      <c r="E8" s="13" t="s">
        <v>114</v>
      </c>
    </row>
    <row r="9" spans="1:5" x14ac:dyDescent="0.25">
      <c r="A9" t="s">
        <v>25</v>
      </c>
      <c r="B9" t="s">
        <v>117</v>
      </c>
      <c r="C9" s="6" t="s">
        <v>101</v>
      </c>
      <c r="D9" t="s">
        <v>118</v>
      </c>
      <c r="E9" s="13" t="s">
        <v>114</v>
      </c>
    </row>
    <row r="10" spans="1:5" x14ac:dyDescent="0.25">
      <c r="A10" t="s">
        <v>31</v>
      </c>
      <c r="B10" t="s">
        <v>119</v>
      </c>
      <c r="C10" s="6" t="s">
        <v>101</v>
      </c>
      <c r="D10" t="s">
        <v>120</v>
      </c>
      <c r="E10" s="13" t="s">
        <v>114</v>
      </c>
    </row>
    <row r="11" spans="1:5" x14ac:dyDescent="0.25">
      <c r="A11" t="s">
        <v>50</v>
      </c>
      <c r="B11" t="s">
        <v>121</v>
      </c>
      <c r="C11" s="6" t="s">
        <v>101</v>
      </c>
      <c r="D11" t="s">
        <v>122</v>
      </c>
      <c r="E11" s="13" t="s">
        <v>114</v>
      </c>
    </row>
    <row r="12" spans="1:5" x14ac:dyDescent="0.25">
      <c r="A12" t="s">
        <v>59</v>
      </c>
      <c r="B12" t="s">
        <v>123</v>
      </c>
      <c r="C12" s="6" t="s">
        <v>101</v>
      </c>
      <c r="D12" t="s">
        <v>124</v>
      </c>
      <c r="E12" s="13" t="s">
        <v>114</v>
      </c>
    </row>
    <row r="13" spans="1:5" x14ac:dyDescent="0.25">
      <c r="A13" t="s">
        <v>52</v>
      </c>
      <c r="B13" t="s">
        <v>125</v>
      </c>
      <c r="C13" s="6" t="s">
        <v>101</v>
      </c>
      <c r="D13" t="s">
        <v>126</v>
      </c>
      <c r="E13" s="13" t="s">
        <v>114</v>
      </c>
    </row>
    <row r="14" spans="1:5" x14ac:dyDescent="0.25">
      <c r="A14" t="s">
        <v>127</v>
      </c>
      <c r="B14" t="s">
        <v>128</v>
      </c>
      <c r="C14" s="6" t="s">
        <v>101</v>
      </c>
      <c r="D14" t="s">
        <v>129</v>
      </c>
      <c r="E14" s="13" t="s">
        <v>114</v>
      </c>
    </row>
    <row r="15" spans="1:5" x14ac:dyDescent="0.25">
      <c r="A15" t="s">
        <v>130</v>
      </c>
      <c r="B15" t="s">
        <v>131</v>
      </c>
      <c r="C15" s="6" t="s">
        <v>101</v>
      </c>
      <c r="D15" t="s">
        <v>132</v>
      </c>
      <c r="E15" s="13" t="s">
        <v>114</v>
      </c>
    </row>
    <row r="16" spans="1:5" x14ac:dyDescent="0.25">
      <c r="A16" t="s">
        <v>83</v>
      </c>
      <c r="B16" t="s">
        <v>133</v>
      </c>
      <c r="C16" s="6" t="s">
        <v>101</v>
      </c>
      <c r="D16" t="s">
        <v>134</v>
      </c>
      <c r="E16" s="13" t="s">
        <v>114</v>
      </c>
    </row>
    <row r="17" spans="1:5" x14ac:dyDescent="0.25">
      <c r="A17" t="s">
        <v>42</v>
      </c>
      <c r="B17" s="4" t="s">
        <v>135</v>
      </c>
      <c r="C17" s="6" t="s">
        <v>101</v>
      </c>
      <c r="D17" t="s">
        <v>136</v>
      </c>
      <c r="E17" s="13" t="s">
        <v>114</v>
      </c>
    </row>
    <row r="18" spans="1:5" x14ac:dyDescent="0.25">
      <c r="A18" t="s">
        <v>51</v>
      </c>
      <c r="B18" t="s">
        <v>137</v>
      </c>
      <c r="C18" s="6" t="s">
        <v>101</v>
      </c>
      <c r="D18" t="s">
        <v>138</v>
      </c>
      <c r="E18" s="14" t="s">
        <v>139</v>
      </c>
    </row>
    <row r="19" spans="1:5" x14ac:dyDescent="0.25">
      <c r="A19" t="s">
        <v>34</v>
      </c>
      <c r="B19" t="s">
        <v>140</v>
      </c>
      <c r="C19" s="6" t="s">
        <v>101</v>
      </c>
      <c r="D19" t="s">
        <v>141</v>
      </c>
      <c r="E19" s="14" t="s">
        <v>139</v>
      </c>
    </row>
    <row r="20" spans="1:5" x14ac:dyDescent="0.25">
      <c r="A20" t="s">
        <v>36</v>
      </c>
      <c r="B20" t="s">
        <v>142</v>
      </c>
      <c r="C20" s="6" t="s">
        <v>101</v>
      </c>
      <c r="D20" t="s">
        <v>143</v>
      </c>
      <c r="E20" s="14" t="s">
        <v>139</v>
      </c>
    </row>
    <row r="21" spans="1:5" x14ac:dyDescent="0.25">
      <c r="A21" t="s">
        <v>24</v>
      </c>
      <c r="B21" t="s">
        <v>144</v>
      </c>
      <c r="C21" s="6" t="s">
        <v>101</v>
      </c>
      <c r="D21" t="s">
        <v>145</v>
      </c>
      <c r="E21" s="14" t="s">
        <v>139</v>
      </c>
    </row>
    <row r="22" spans="1:5" x14ac:dyDescent="0.25">
      <c r="A22" t="s">
        <v>23</v>
      </c>
      <c r="B22" t="s">
        <v>146</v>
      </c>
      <c r="C22" s="6" t="s">
        <v>101</v>
      </c>
      <c r="D22" t="s">
        <v>147</v>
      </c>
      <c r="E22" s="14" t="s">
        <v>139</v>
      </c>
    </row>
    <row r="23" spans="1:5" x14ac:dyDescent="0.25">
      <c r="A23" t="s">
        <v>148</v>
      </c>
      <c r="B23" t="s">
        <v>149</v>
      </c>
      <c r="C23" s="6" t="s">
        <v>101</v>
      </c>
      <c r="D23" t="s">
        <v>150</v>
      </c>
      <c r="E23" s="14" t="s">
        <v>139</v>
      </c>
    </row>
    <row r="24" spans="1:5" x14ac:dyDescent="0.25">
      <c r="A24" t="s">
        <v>54</v>
      </c>
      <c r="B24" t="s">
        <v>151</v>
      </c>
      <c r="C24" s="6" t="s">
        <v>101</v>
      </c>
      <c r="D24" t="s">
        <v>152</v>
      </c>
      <c r="E24" s="14" t="s">
        <v>139</v>
      </c>
    </row>
    <row r="25" spans="1:5" x14ac:dyDescent="0.25">
      <c r="A25" t="s">
        <v>45</v>
      </c>
      <c r="B25" t="s">
        <v>153</v>
      </c>
      <c r="C25" s="6" t="s">
        <v>101</v>
      </c>
      <c r="D25" t="s">
        <v>154</v>
      </c>
      <c r="E25" s="14" t="s">
        <v>139</v>
      </c>
    </row>
    <row r="26" spans="1:5" x14ac:dyDescent="0.25">
      <c r="A26" t="s">
        <v>53</v>
      </c>
      <c r="B26" t="s">
        <v>155</v>
      </c>
      <c r="C26" s="6" t="s">
        <v>101</v>
      </c>
      <c r="D26" t="s">
        <v>156</v>
      </c>
      <c r="E26" s="14" t="s">
        <v>139</v>
      </c>
    </row>
    <row r="27" spans="1:5" x14ac:dyDescent="0.25">
      <c r="A27" t="s">
        <v>48</v>
      </c>
      <c r="B27" t="s">
        <v>157</v>
      </c>
      <c r="C27" s="6" t="s">
        <v>101</v>
      </c>
      <c r="D27" t="s">
        <v>158</v>
      </c>
      <c r="E27" s="14" t="s">
        <v>139</v>
      </c>
    </row>
    <row r="28" spans="1:5" x14ac:dyDescent="0.25">
      <c r="A28" t="s">
        <v>58</v>
      </c>
      <c r="B28" t="s">
        <v>159</v>
      </c>
      <c r="C28" s="6" t="s">
        <v>101</v>
      </c>
      <c r="D28" t="s">
        <v>160</v>
      </c>
      <c r="E28" s="14" t="s">
        <v>139</v>
      </c>
    </row>
    <row r="29" spans="1:5" x14ac:dyDescent="0.25">
      <c r="A29" t="s">
        <v>44</v>
      </c>
      <c r="B29" s="5" t="s">
        <v>161</v>
      </c>
      <c r="C29" s="6" t="s">
        <v>101</v>
      </c>
      <c r="D29" t="s">
        <v>162</v>
      </c>
      <c r="E29" s="14" t="s">
        <v>139</v>
      </c>
    </row>
    <row r="30" spans="1:5" x14ac:dyDescent="0.25">
      <c r="A30" t="s">
        <v>72</v>
      </c>
      <c r="B30" s="5" t="s">
        <v>163</v>
      </c>
      <c r="C30" s="6" t="s">
        <v>101</v>
      </c>
      <c r="D30" t="s">
        <v>162</v>
      </c>
      <c r="E30" s="14" t="s">
        <v>139</v>
      </c>
    </row>
    <row r="31" spans="1:5" x14ac:dyDescent="0.25">
      <c r="A31" t="s">
        <v>164</v>
      </c>
      <c r="B31" s="5" t="s">
        <v>165</v>
      </c>
      <c r="C31" s="6" t="s">
        <v>101</v>
      </c>
      <c r="D31" t="s">
        <v>162</v>
      </c>
      <c r="E31" s="14" t="s">
        <v>139</v>
      </c>
    </row>
    <row r="32" spans="1:5" x14ac:dyDescent="0.25">
      <c r="A32" s="2" t="s">
        <v>16</v>
      </c>
      <c r="B32" s="2" t="s">
        <v>166</v>
      </c>
      <c r="C32" s="7" t="s">
        <v>101</v>
      </c>
      <c r="D32" t="s">
        <v>167</v>
      </c>
      <c r="E32" s="14" t="s">
        <v>139</v>
      </c>
    </row>
    <row r="33" spans="1:5" x14ac:dyDescent="0.25">
      <c r="A33" t="s">
        <v>22</v>
      </c>
      <c r="B33" t="s">
        <v>168</v>
      </c>
      <c r="C33" s="6" t="s">
        <v>101</v>
      </c>
      <c r="D33" t="s">
        <v>169</v>
      </c>
      <c r="E33" s="15" t="s">
        <v>170</v>
      </c>
    </row>
    <row r="34" spans="1:5" x14ac:dyDescent="0.25">
      <c r="A34" t="s">
        <v>90</v>
      </c>
      <c r="B34" t="s">
        <v>171</v>
      </c>
      <c r="C34" s="6" t="s">
        <v>101</v>
      </c>
      <c r="D34" t="s">
        <v>172</v>
      </c>
      <c r="E34" s="15" t="s">
        <v>170</v>
      </c>
    </row>
    <row r="35" spans="1:5" x14ac:dyDescent="0.25">
      <c r="A35" t="s">
        <v>84</v>
      </c>
      <c r="B35" t="s">
        <v>173</v>
      </c>
      <c r="C35" s="6" t="s">
        <v>101</v>
      </c>
      <c r="D35" t="s">
        <v>174</v>
      </c>
      <c r="E35" t="s">
        <v>175</v>
      </c>
    </row>
    <row r="36" spans="1:5" x14ac:dyDescent="0.25">
      <c r="A36" t="s">
        <v>86</v>
      </c>
      <c r="B36" t="s">
        <v>176</v>
      </c>
      <c r="C36" s="6" t="s">
        <v>101</v>
      </c>
      <c r="D36" t="s">
        <v>177</v>
      </c>
      <c r="E36" t="s">
        <v>178</v>
      </c>
    </row>
    <row r="37" spans="1:5" x14ac:dyDescent="0.25">
      <c r="A37" t="s">
        <v>87</v>
      </c>
      <c r="B37" t="s">
        <v>179</v>
      </c>
      <c r="C37" s="6" t="s">
        <v>101</v>
      </c>
      <c r="D37" t="s">
        <v>180</v>
      </c>
      <c r="E37" t="s">
        <v>162</v>
      </c>
    </row>
    <row r="38" spans="1:5" x14ac:dyDescent="0.25">
      <c r="A38" t="s">
        <v>43</v>
      </c>
      <c r="B38" t="s">
        <v>181</v>
      </c>
      <c r="C38" s="6" t="s">
        <v>101</v>
      </c>
      <c r="D38" t="s">
        <v>182</v>
      </c>
      <c r="E38" t="s">
        <v>162</v>
      </c>
    </row>
    <row r="39" spans="1:5" x14ac:dyDescent="0.25">
      <c r="A39" t="s">
        <v>80</v>
      </c>
      <c r="B39" t="s">
        <v>183</v>
      </c>
      <c r="C39" s="6" t="s">
        <v>101</v>
      </c>
      <c r="D39" t="s">
        <v>184</v>
      </c>
      <c r="E39" t="s">
        <v>162</v>
      </c>
    </row>
    <row r="40" spans="1:5" x14ac:dyDescent="0.25">
      <c r="A40" t="s">
        <v>30</v>
      </c>
      <c r="B40" t="s">
        <v>185</v>
      </c>
      <c r="C40" s="6" t="s">
        <v>101</v>
      </c>
      <c r="D40" t="s">
        <v>186</v>
      </c>
      <c r="E40" t="s">
        <v>162</v>
      </c>
    </row>
    <row r="41" spans="1:5" x14ac:dyDescent="0.25">
      <c r="A41" t="s">
        <v>64</v>
      </c>
      <c r="B41" t="s">
        <v>187</v>
      </c>
      <c r="C41" s="6" t="s">
        <v>101</v>
      </c>
      <c r="D41" t="s">
        <v>188</v>
      </c>
      <c r="E41" t="s">
        <v>162</v>
      </c>
    </row>
    <row r="42" spans="1:5" x14ac:dyDescent="0.25">
      <c r="A42" t="s">
        <v>89</v>
      </c>
      <c r="B42" t="s">
        <v>189</v>
      </c>
      <c r="C42" s="6" t="s">
        <v>101</v>
      </c>
      <c r="D42" t="s">
        <v>190</v>
      </c>
      <c r="E42" t="s">
        <v>162</v>
      </c>
    </row>
    <row r="43" spans="1:5" x14ac:dyDescent="0.25">
      <c r="A43" t="s">
        <v>15</v>
      </c>
      <c r="B43" t="s">
        <v>191</v>
      </c>
      <c r="C43" s="6" t="s">
        <v>101</v>
      </c>
      <c r="D43" t="s">
        <v>192</v>
      </c>
      <c r="E43" t="s">
        <v>162</v>
      </c>
    </row>
    <row r="44" spans="1:5" x14ac:dyDescent="0.25">
      <c r="A44" t="s">
        <v>88</v>
      </c>
      <c r="B44" t="s">
        <v>193</v>
      </c>
      <c r="C44" s="6" t="s">
        <v>101</v>
      </c>
      <c r="D44" t="s">
        <v>194</v>
      </c>
      <c r="E44" t="s">
        <v>162</v>
      </c>
    </row>
    <row r="45" spans="1:5" x14ac:dyDescent="0.25">
      <c r="A45" t="s">
        <v>57</v>
      </c>
      <c r="B45" t="s">
        <v>195</v>
      </c>
      <c r="C45" s="8" t="s">
        <v>196</v>
      </c>
      <c r="D45" t="s">
        <v>197</v>
      </c>
      <c r="E45" s="16" t="s">
        <v>198</v>
      </c>
    </row>
    <row r="46" spans="1:5" x14ac:dyDescent="0.25">
      <c r="A46" t="s">
        <v>91</v>
      </c>
      <c r="B46" t="s">
        <v>199</v>
      </c>
      <c r="C46" s="8" t="s">
        <v>196</v>
      </c>
      <c r="D46" t="s">
        <v>200</v>
      </c>
      <c r="E46" s="17" t="s">
        <v>201</v>
      </c>
    </row>
    <row r="47" spans="1:5" x14ac:dyDescent="0.25">
      <c r="A47" t="s">
        <v>55</v>
      </c>
      <c r="B47" t="s">
        <v>202</v>
      </c>
      <c r="C47" s="8" t="s">
        <v>196</v>
      </c>
      <c r="D47" t="s">
        <v>203</v>
      </c>
      <c r="E47" s="17" t="s">
        <v>201</v>
      </c>
    </row>
    <row r="48" spans="1:5" x14ac:dyDescent="0.25">
      <c r="A48" t="s">
        <v>69</v>
      </c>
      <c r="B48" t="s">
        <v>204</v>
      </c>
      <c r="C48" s="8" t="s">
        <v>196</v>
      </c>
      <c r="D48" t="s">
        <v>205</v>
      </c>
      <c r="E48" s="17" t="s">
        <v>201</v>
      </c>
    </row>
    <row r="49" spans="1:5" x14ac:dyDescent="0.25">
      <c r="A49" t="s">
        <v>39</v>
      </c>
      <c r="B49" t="s">
        <v>206</v>
      </c>
      <c r="C49" s="8" t="s">
        <v>196</v>
      </c>
      <c r="D49" t="s">
        <v>207</v>
      </c>
      <c r="E49" s="17" t="s">
        <v>201</v>
      </c>
    </row>
    <row r="50" spans="1:5" x14ac:dyDescent="0.25">
      <c r="A50" t="s">
        <v>47</v>
      </c>
      <c r="B50" t="s">
        <v>208</v>
      </c>
      <c r="C50" s="8" t="s">
        <v>196</v>
      </c>
      <c r="D50" t="s">
        <v>209</v>
      </c>
      <c r="E50" s="18" t="s">
        <v>210</v>
      </c>
    </row>
    <row r="51" spans="1:5" x14ac:dyDescent="0.25">
      <c r="A51" t="s">
        <v>211</v>
      </c>
      <c r="B51" t="s">
        <v>212</v>
      </c>
      <c r="C51" s="8" t="s">
        <v>196</v>
      </c>
      <c r="D51" t="s">
        <v>213</v>
      </c>
      <c r="E51" s="18" t="s">
        <v>210</v>
      </c>
    </row>
    <row r="52" spans="1:5" x14ac:dyDescent="0.25">
      <c r="A52" t="s">
        <v>214</v>
      </c>
      <c r="B52" t="s">
        <v>215</v>
      </c>
      <c r="C52" s="8" t="s">
        <v>196</v>
      </c>
      <c r="D52" t="s">
        <v>216</v>
      </c>
      <c r="E52" s="18" t="s">
        <v>210</v>
      </c>
    </row>
    <row r="53" spans="1:5" x14ac:dyDescent="0.25">
      <c r="A53" t="s">
        <v>75</v>
      </c>
      <c r="B53" s="5" t="s">
        <v>217</v>
      </c>
      <c r="C53" s="8" t="s">
        <v>196</v>
      </c>
      <c r="D53" t="s">
        <v>162</v>
      </c>
      <c r="E53" s="18" t="s">
        <v>210</v>
      </c>
    </row>
    <row r="54" spans="1:5" x14ac:dyDescent="0.25">
      <c r="A54" t="s">
        <v>78</v>
      </c>
      <c r="B54" t="s">
        <v>218</v>
      </c>
      <c r="C54" s="8" t="s">
        <v>196</v>
      </c>
      <c r="D54" t="s">
        <v>219</v>
      </c>
      <c r="E54" s="18" t="s">
        <v>210</v>
      </c>
    </row>
    <row r="55" spans="1:5" x14ac:dyDescent="0.25">
      <c r="A55" t="s">
        <v>62</v>
      </c>
      <c r="B55" s="5" t="s">
        <v>220</v>
      </c>
      <c r="C55" s="8" t="s">
        <v>196</v>
      </c>
      <c r="D55" t="s">
        <v>162</v>
      </c>
      <c r="E55" s="18" t="s">
        <v>210</v>
      </c>
    </row>
    <row r="56" spans="1:5" x14ac:dyDescent="0.25">
      <c r="A56" t="s">
        <v>221</v>
      </c>
      <c r="B56" t="s">
        <v>222</v>
      </c>
      <c r="C56" s="8" t="s">
        <v>196</v>
      </c>
      <c r="D56" t="s">
        <v>223</v>
      </c>
      <c r="E56" s="12" t="s">
        <v>103</v>
      </c>
    </row>
    <row r="57" spans="1:5" x14ac:dyDescent="0.25">
      <c r="A57" t="s">
        <v>74</v>
      </c>
      <c r="B57" t="s">
        <v>224</v>
      </c>
      <c r="C57" s="8" t="s">
        <v>196</v>
      </c>
      <c r="D57" t="s">
        <v>225</v>
      </c>
      <c r="E57" s="12" t="s">
        <v>103</v>
      </c>
    </row>
    <row r="58" spans="1:5" x14ac:dyDescent="0.25">
      <c r="A58" t="s">
        <v>40</v>
      </c>
      <c r="B58" t="s">
        <v>226</v>
      </c>
      <c r="C58" s="8" t="s">
        <v>196</v>
      </c>
      <c r="D58" t="s">
        <v>227</v>
      </c>
      <c r="E58" s="12" t="s">
        <v>103</v>
      </c>
    </row>
    <row r="59" spans="1:5" x14ac:dyDescent="0.25">
      <c r="A59" t="s">
        <v>27</v>
      </c>
      <c r="B59" t="s">
        <v>228</v>
      </c>
      <c r="C59" s="8" t="s">
        <v>196</v>
      </c>
      <c r="D59" t="s">
        <v>229</v>
      </c>
      <c r="E59" s="12" t="s">
        <v>103</v>
      </c>
    </row>
    <row r="60" spans="1:5" x14ac:dyDescent="0.25">
      <c r="A60" t="s">
        <v>18</v>
      </c>
      <c r="B60" t="s">
        <v>230</v>
      </c>
      <c r="C60" s="8" t="s">
        <v>196</v>
      </c>
      <c r="D60" t="s">
        <v>231</v>
      </c>
      <c r="E60" s="12" t="s">
        <v>103</v>
      </c>
    </row>
    <row r="61" spans="1:5" x14ac:dyDescent="0.25">
      <c r="A61" t="s">
        <v>71</v>
      </c>
      <c r="B61" t="s">
        <v>232</v>
      </c>
      <c r="C61" s="8" t="s">
        <v>196</v>
      </c>
      <c r="D61" t="s">
        <v>233</v>
      </c>
      <c r="E61" s="12" t="s">
        <v>103</v>
      </c>
    </row>
    <row r="62" spans="1:5" x14ac:dyDescent="0.25">
      <c r="A62" t="s">
        <v>21</v>
      </c>
      <c r="B62" t="s">
        <v>234</v>
      </c>
      <c r="C62" s="8" t="s">
        <v>196</v>
      </c>
      <c r="D62" t="s">
        <v>235</v>
      </c>
      <c r="E62" s="12" t="s">
        <v>103</v>
      </c>
    </row>
    <row r="63" spans="1:5" x14ac:dyDescent="0.25">
      <c r="A63" t="s">
        <v>77</v>
      </c>
      <c r="B63" t="s">
        <v>236</v>
      </c>
      <c r="C63" s="8" t="s">
        <v>196</v>
      </c>
      <c r="D63" t="s">
        <v>237</v>
      </c>
      <c r="E63" s="12" t="s">
        <v>103</v>
      </c>
    </row>
    <row r="64" spans="1:5" x14ac:dyDescent="0.25">
      <c r="A64" t="s">
        <v>94</v>
      </c>
      <c r="B64" t="s">
        <v>238</v>
      </c>
      <c r="C64" s="8" t="s">
        <v>196</v>
      </c>
      <c r="D64" t="s">
        <v>239</v>
      </c>
      <c r="E64" s="12" t="s">
        <v>103</v>
      </c>
    </row>
    <row r="65" spans="1:5" x14ac:dyDescent="0.25">
      <c r="A65" t="s">
        <v>38</v>
      </c>
      <c r="B65" t="s">
        <v>240</v>
      </c>
      <c r="C65" s="8" t="s">
        <v>196</v>
      </c>
      <c r="D65" t="s">
        <v>241</v>
      </c>
      <c r="E65" s="12" t="s">
        <v>103</v>
      </c>
    </row>
    <row r="66" spans="1:5" x14ac:dyDescent="0.25">
      <c r="A66" t="s">
        <v>17</v>
      </c>
      <c r="B66" t="s">
        <v>242</v>
      </c>
      <c r="C66" s="8" t="s">
        <v>196</v>
      </c>
      <c r="D66" t="s">
        <v>243</v>
      </c>
      <c r="E66" s="12" t="s">
        <v>103</v>
      </c>
    </row>
    <row r="67" spans="1:5" x14ac:dyDescent="0.25">
      <c r="A67" t="s">
        <v>20</v>
      </c>
      <c r="B67" s="5" t="s">
        <v>244</v>
      </c>
      <c r="C67" s="8" t="s">
        <v>196</v>
      </c>
      <c r="D67" t="s">
        <v>162</v>
      </c>
      <c r="E67" s="12" t="s">
        <v>103</v>
      </c>
    </row>
    <row r="68" spans="1:5" x14ac:dyDescent="0.25">
      <c r="A68" t="s">
        <v>92</v>
      </c>
      <c r="B68" t="s">
        <v>245</v>
      </c>
      <c r="C68" s="8" t="s">
        <v>196</v>
      </c>
      <c r="D68" t="s">
        <v>246</v>
      </c>
      <c r="E68" s="12" t="s">
        <v>103</v>
      </c>
    </row>
    <row r="69" spans="1:5" x14ac:dyDescent="0.25">
      <c r="A69" t="s">
        <v>49</v>
      </c>
      <c r="B69" s="5" t="s">
        <v>247</v>
      </c>
      <c r="C69" s="8" t="s">
        <v>196</v>
      </c>
      <c r="D69" t="s">
        <v>162</v>
      </c>
      <c r="E69" s="12" t="s">
        <v>103</v>
      </c>
    </row>
    <row r="70" spans="1:5" x14ac:dyDescent="0.25">
      <c r="A70" t="s">
        <v>82</v>
      </c>
      <c r="B70" s="5" t="s">
        <v>248</v>
      </c>
      <c r="C70" s="8" t="s">
        <v>196</v>
      </c>
      <c r="D70" t="s">
        <v>162</v>
      </c>
      <c r="E70" s="12" t="s">
        <v>103</v>
      </c>
    </row>
    <row r="71" spans="1:5" x14ac:dyDescent="0.25">
      <c r="A71" t="s">
        <v>68</v>
      </c>
      <c r="B71" t="s">
        <v>249</v>
      </c>
      <c r="C71" s="8" t="s">
        <v>196</v>
      </c>
      <c r="D71" t="s">
        <v>250</v>
      </c>
      <c r="E71" s="13" t="s">
        <v>114</v>
      </c>
    </row>
    <row r="72" spans="1:5" x14ac:dyDescent="0.25">
      <c r="A72" t="s">
        <v>73</v>
      </c>
      <c r="B72" t="s">
        <v>251</v>
      </c>
      <c r="C72" s="8" t="s">
        <v>196</v>
      </c>
      <c r="D72" t="s">
        <v>252</v>
      </c>
      <c r="E72" s="13" t="s">
        <v>114</v>
      </c>
    </row>
    <row r="73" spans="1:5" x14ac:dyDescent="0.25">
      <c r="A73" t="s">
        <v>29</v>
      </c>
      <c r="B73" t="s">
        <v>253</v>
      </c>
      <c r="C73" s="8" t="s">
        <v>196</v>
      </c>
      <c r="D73" t="s">
        <v>254</v>
      </c>
      <c r="E73" s="13" t="s">
        <v>114</v>
      </c>
    </row>
    <row r="74" spans="1:5" x14ac:dyDescent="0.25">
      <c r="A74" t="s">
        <v>81</v>
      </c>
      <c r="B74" t="s">
        <v>255</v>
      </c>
      <c r="C74" s="8" t="s">
        <v>196</v>
      </c>
      <c r="D74" t="s">
        <v>256</v>
      </c>
      <c r="E74" s="13" t="s">
        <v>114</v>
      </c>
    </row>
    <row r="75" spans="1:5" x14ac:dyDescent="0.25">
      <c r="A75" t="s">
        <v>28</v>
      </c>
      <c r="B75" t="s">
        <v>257</v>
      </c>
      <c r="C75" s="8" t="s">
        <v>196</v>
      </c>
      <c r="D75" t="s">
        <v>258</v>
      </c>
      <c r="E75" s="13" t="s">
        <v>114</v>
      </c>
    </row>
    <row r="76" spans="1:5" x14ac:dyDescent="0.25">
      <c r="A76" t="s">
        <v>46</v>
      </c>
      <c r="B76" s="5" t="s">
        <v>259</v>
      </c>
      <c r="C76" s="8" t="s">
        <v>196</v>
      </c>
      <c r="D76" t="s">
        <v>162</v>
      </c>
      <c r="E76" s="13" t="s">
        <v>114</v>
      </c>
    </row>
    <row r="77" spans="1:5" x14ac:dyDescent="0.25">
      <c r="A77" t="s">
        <v>60</v>
      </c>
      <c r="B77" s="5" t="s">
        <v>260</v>
      </c>
      <c r="C77" s="8" t="s">
        <v>196</v>
      </c>
      <c r="D77" t="s">
        <v>162</v>
      </c>
      <c r="E77" s="13" t="s">
        <v>114</v>
      </c>
    </row>
    <row r="78" spans="1:5" x14ac:dyDescent="0.25">
      <c r="A78" t="s">
        <v>67</v>
      </c>
      <c r="B78" t="s">
        <v>261</v>
      </c>
      <c r="C78" s="8" t="s">
        <v>196</v>
      </c>
      <c r="D78" t="s">
        <v>262</v>
      </c>
      <c r="E78" t="s">
        <v>263</v>
      </c>
    </row>
    <row r="79" spans="1:5" x14ac:dyDescent="0.25">
      <c r="A79" t="s">
        <v>33</v>
      </c>
      <c r="B79" t="s">
        <v>264</v>
      </c>
      <c r="C79" s="8" t="s">
        <v>196</v>
      </c>
      <c r="D79" t="s">
        <v>265</v>
      </c>
      <c r="E79" s="15" t="s">
        <v>170</v>
      </c>
    </row>
    <row r="80" spans="1:5" x14ac:dyDescent="0.25">
      <c r="A80" t="s">
        <v>266</v>
      </c>
      <c r="B80" t="s">
        <v>267</v>
      </c>
      <c r="C80" s="8" t="s">
        <v>196</v>
      </c>
      <c r="D80" t="s">
        <v>268</v>
      </c>
      <c r="E80" t="s">
        <v>269</v>
      </c>
    </row>
    <row r="81" spans="1:5" x14ac:dyDescent="0.25">
      <c r="A81" t="s">
        <v>79</v>
      </c>
      <c r="B81" t="s">
        <v>270</v>
      </c>
      <c r="C81" s="8" t="s">
        <v>196</v>
      </c>
      <c r="D81" t="s">
        <v>271</v>
      </c>
      <c r="E81" t="s">
        <v>272</v>
      </c>
    </row>
    <row r="82" spans="1:5" x14ac:dyDescent="0.25">
      <c r="A82" t="s">
        <v>63</v>
      </c>
      <c r="B82" t="s">
        <v>273</v>
      </c>
      <c r="C82" s="8" t="s">
        <v>196</v>
      </c>
      <c r="D82" t="s">
        <v>274</v>
      </c>
      <c r="E82" t="s">
        <v>162</v>
      </c>
    </row>
    <row r="83" spans="1:5" x14ac:dyDescent="0.25">
      <c r="A83" t="s">
        <v>19</v>
      </c>
      <c r="B83" s="5" t="s">
        <v>275</v>
      </c>
      <c r="C83" s="8" t="s">
        <v>196</v>
      </c>
      <c r="D83" t="s">
        <v>162</v>
      </c>
      <c r="E83" t="s">
        <v>162</v>
      </c>
    </row>
    <row r="84" spans="1:5" x14ac:dyDescent="0.25">
      <c r="A84" t="s">
        <v>76</v>
      </c>
      <c r="B84" s="5" t="s">
        <v>276</v>
      </c>
      <c r="C84" s="8" t="s">
        <v>196</v>
      </c>
      <c r="D84" t="s">
        <v>162</v>
      </c>
      <c r="E84" t="s">
        <v>162</v>
      </c>
    </row>
    <row r="85" spans="1:5" x14ac:dyDescent="0.25">
      <c r="A85" t="s">
        <v>66</v>
      </c>
      <c r="B85" t="s">
        <v>277</v>
      </c>
      <c r="C85" s="8" t="s">
        <v>196</v>
      </c>
      <c r="D85" t="s">
        <v>278</v>
      </c>
      <c r="E85" t="s">
        <v>162</v>
      </c>
    </row>
    <row r="86" spans="1:5" x14ac:dyDescent="0.25">
      <c r="A86" t="s">
        <v>93</v>
      </c>
      <c r="B86" t="s">
        <v>279</v>
      </c>
      <c r="C86" s="8" t="s">
        <v>196</v>
      </c>
      <c r="D86" t="s">
        <v>280</v>
      </c>
      <c r="E86" t="s">
        <v>162</v>
      </c>
    </row>
    <row r="87" spans="1:5" x14ac:dyDescent="0.25">
      <c r="A87" s="3" t="s">
        <v>281</v>
      </c>
      <c r="B87" s="5" t="s">
        <v>282</v>
      </c>
      <c r="C87" s="8" t="s">
        <v>196</v>
      </c>
      <c r="D87" t="s">
        <v>162</v>
      </c>
      <c r="E87" t="s">
        <v>162</v>
      </c>
    </row>
    <row r="88" spans="1:5" x14ac:dyDescent="0.25">
      <c r="A88" t="s">
        <v>70</v>
      </c>
      <c r="B88" t="s">
        <v>283</v>
      </c>
      <c r="C88" s="9" t="s">
        <v>284</v>
      </c>
      <c r="D88" t="s">
        <v>285</v>
      </c>
      <c r="E88" s="12" t="s">
        <v>103</v>
      </c>
    </row>
    <row r="89" spans="1:5" x14ac:dyDescent="0.25">
      <c r="A89" t="s">
        <v>65</v>
      </c>
      <c r="B89" t="s">
        <v>286</v>
      </c>
      <c r="C89" s="9" t="s">
        <v>284</v>
      </c>
      <c r="D89" t="s">
        <v>287</v>
      </c>
      <c r="E89" s="13" t="s">
        <v>114</v>
      </c>
    </row>
    <row r="90" spans="1:5" x14ac:dyDescent="0.25">
      <c r="A90" t="s">
        <v>288</v>
      </c>
      <c r="B90" t="s">
        <v>289</v>
      </c>
      <c r="C90" s="9" t="s">
        <v>284</v>
      </c>
      <c r="D90" t="s">
        <v>290</v>
      </c>
      <c r="E90" t="s">
        <v>162</v>
      </c>
    </row>
    <row r="91" spans="1:5" x14ac:dyDescent="0.25">
      <c r="A91" t="s">
        <v>85</v>
      </c>
      <c r="B91" t="s">
        <v>291</v>
      </c>
      <c r="C91" s="9" t="s">
        <v>284</v>
      </c>
      <c r="D91" t="s">
        <v>292</v>
      </c>
      <c r="E91" s="15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aggregated_results</vt:lpstr>
      <vt:lpstr>representatives_list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Balint DUDAS</dc:creator>
  <cp:keywords/>
  <dc:description/>
  <cp:lastModifiedBy>Rosta, Edina</cp:lastModifiedBy>
  <cp:revision/>
  <dcterms:created xsi:type="dcterms:W3CDTF">2024-07-15T15:59:11Z</dcterms:created>
  <dcterms:modified xsi:type="dcterms:W3CDTF">2024-09-10T21:46:28Z</dcterms:modified>
  <cp:category/>
  <cp:contentStatus/>
</cp:coreProperties>
</file>